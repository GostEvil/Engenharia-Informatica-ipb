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bfc\OneDrive\Desktop\IPB - Eng.ª Informática\Disciplinas\1.º Ano\2.º Semestre\E - Estatística\[Recursos] E - Backup\23_24\3. Resoluções de Fichas\"/>
    </mc:Choice>
  </mc:AlternateContent>
  <xr:revisionPtr revIDLastSave="0" documentId="13_ncr:1_{D642F0F4-BBD7-41F9-840A-D0692D7CCEE6}" xr6:coauthVersionLast="47" xr6:coauthVersionMax="47" xr10:uidLastSave="{00000000-0000-0000-0000-000000000000}"/>
  <bookViews>
    <workbookView xWindow="-108" yWindow="-108" windowWidth="23256" windowHeight="12456" activeTab="11" xr2:uid="{00000000-000D-0000-FFFF-FFFF00000000}"/>
  </bookViews>
  <sheets>
    <sheet name="8.1" sheetId="1" r:id="rId1"/>
    <sheet name="8.2" sheetId="3" r:id="rId2"/>
    <sheet name="8.3" sheetId="4" r:id="rId3"/>
    <sheet name="8.4" sheetId="5" r:id="rId4"/>
    <sheet name="8.5" sheetId="6" r:id="rId5"/>
    <sheet name="R8.1a1" sheetId="14" r:id="rId6"/>
    <sheet name="R8.1a2" sheetId="15" r:id="rId7"/>
    <sheet name="R8.1b1" sheetId="7" r:id="rId8"/>
    <sheet name="R8.1b2" sheetId="13" r:id="rId9"/>
    <sheet name="R8.2" sheetId="8" r:id="rId10"/>
    <sheet name="R8.3" sheetId="9" r:id="rId11"/>
    <sheet name="R8.4" sheetId="10" r:id="rId12"/>
    <sheet name="R8.5t1" sheetId="16" r:id="rId13"/>
    <sheet name="R8.5t2" sheetId="11" r:id="rId14"/>
    <sheet name="R8.6" sheetId="12" r:id="rId15"/>
  </sheets>
  <definedNames>
    <definedName name="_mc2" localSheetId="5">'R8.1a1'!$B$19</definedName>
    <definedName name="_mc2" localSheetId="6">'R8.1a2'!$B$18</definedName>
    <definedName name="_mc2" localSheetId="8">'R8.1b2'!$B$18</definedName>
    <definedName name="_mc2">'R8.1b1'!$B$18</definedName>
    <definedName name="_mc3" localSheetId="5">'R8.1a1'!$B$22</definedName>
    <definedName name="_mc3" localSheetId="6">'R8.1a2'!$B$21</definedName>
    <definedName name="_mc3" localSheetId="8">'R8.1b2'!$B$21</definedName>
    <definedName name="_mc3">'R8.1b1'!$B$21</definedName>
    <definedName name="_mc4" localSheetId="5">'R8.1a1'!$B$25</definedName>
    <definedName name="_mc4" localSheetId="6">'R8.1a2'!$B$24</definedName>
    <definedName name="_mc4" localSheetId="8">'R8.1b2'!$B$24</definedName>
    <definedName name="_mc4">'R8.1b1'!$B$24</definedName>
    <definedName name="_mk2" localSheetId="5">'R8.1a1'!$B$20</definedName>
    <definedName name="_mk2" localSheetId="6">'R8.1a2'!$B$19</definedName>
    <definedName name="_mk2" localSheetId="8">'R8.1b2'!$B$19</definedName>
    <definedName name="_mk2">'R8.1b1'!$B$19</definedName>
    <definedName name="_mk3" localSheetId="5">'R8.1a1'!$B$23</definedName>
    <definedName name="_mk3" localSheetId="6">'R8.1a2'!$B$22</definedName>
    <definedName name="_mk3" localSheetId="8">'R8.1b2'!$B$22</definedName>
    <definedName name="_mk3">'R8.1b1'!$B$22</definedName>
    <definedName name="_mk4" localSheetId="5">'R8.1a1'!$B$26</definedName>
    <definedName name="_mk4" localSheetId="6">'R8.1a2'!$B$25</definedName>
    <definedName name="_mk4" localSheetId="8">'R8.1b2'!$B$25</definedName>
    <definedName name="_mk4">'R8.1b1'!$B$25</definedName>
    <definedName name="dados" localSheetId="14">'R8.6'!$A$4:$T$28</definedName>
    <definedName name="n" localSheetId="5">'R8.1a1'!$B$11</definedName>
    <definedName name="n" localSheetId="6">'R8.1a2'!$B$10</definedName>
    <definedName name="n" localSheetId="8">'R8.1b2'!$B$10</definedName>
    <definedName name="n">'R8.1b1'!$B$10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6" l="1"/>
  <c r="C17" i="16" s="1"/>
  <c r="B14" i="16"/>
  <c r="D13" i="16"/>
  <c r="H13" i="16" s="1"/>
  <c r="B13" i="16"/>
  <c r="B12" i="16"/>
  <c r="B8" i="16"/>
  <c r="D7" i="16"/>
  <c r="H7" i="16" s="1"/>
  <c r="B7" i="16"/>
  <c r="D6" i="16"/>
  <c r="H6" i="16" s="1"/>
  <c r="B6" i="16"/>
  <c r="B5" i="16"/>
  <c r="E4" i="16"/>
  <c r="E5" i="16" s="1"/>
  <c r="E6" i="16" s="1"/>
  <c r="E7" i="16" s="1"/>
  <c r="E8" i="16" s="1"/>
  <c r="E9" i="16" s="1"/>
  <c r="E10" i="16" s="1"/>
  <c r="E11" i="16" s="1"/>
  <c r="E12" i="16" s="1"/>
  <c r="E13" i="16" s="1"/>
  <c r="E14" i="16" s="1"/>
  <c r="D4" i="16"/>
  <c r="B4" i="16"/>
  <c r="C4" i="15"/>
  <c r="D4" i="15"/>
  <c r="E4" i="15"/>
  <c r="F4" i="15"/>
  <c r="G4" i="15"/>
  <c r="B4" i="15"/>
  <c r="B11" i="15" s="1"/>
  <c r="B12" i="15" s="1"/>
  <c r="F5" i="14"/>
  <c r="E5" i="14"/>
  <c r="D5" i="14"/>
  <c r="C5" i="14"/>
  <c r="B5" i="14"/>
  <c r="B12" i="14" s="1"/>
  <c r="B13" i="14" s="1"/>
  <c r="C4" i="13"/>
  <c r="D4" i="13"/>
  <c r="E4" i="13"/>
  <c r="B11" i="13" s="1"/>
  <c r="B12" i="13" s="1"/>
  <c r="F4" i="13"/>
  <c r="G4" i="13"/>
  <c r="B4" i="13"/>
  <c r="K48" i="12"/>
  <c r="K47" i="12"/>
  <c r="K46" i="12"/>
  <c r="K45" i="12"/>
  <c r="K44" i="12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C30" i="12"/>
  <c r="B34" i="12" s="1"/>
  <c r="B14" i="11"/>
  <c r="B13" i="11"/>
  <c r="B12" i="11"/>
  <c r="B8" i="11"/>
  <c r="B7" i="11"/>
  <c r="B6" i="11"/>
  <c r="B5" i="11"/>
  <c r="B4" i="11"/>
  <c r="B42" i="10"/>
  <c r="B41" i="10"/>
  <c r="B35" i="9"/>
  <c r="E3" i="10"/>
  <c r="E4" i="10" s="1"/>
  <c r="B4" i="10"/>
  <c r="B3" i="10"/>
  <c r="B9" i="10"/>
  <c r="B37" i="9"/>
  <c r="B36" i="9"/>
  <c r="B39" i="9"/>
  <c r="B38" i="9"/>
  <c r="E3" i="9"/>
  <c r="E4" i="9" s="1"/>
  <c r="B4" i="9"/>
  <c r="B3" i="9"/>
  <c r="B9" i="9" s="1"/>
  <c r="B10" i="8"/>
  <c r="C10" i="8" s="1"/>
  <c r="B5" i="8"/>
  <c r="C5" i="8" s="1"/>
  <c r="B6" i="8"/>
  <c r="C6" i="8" s="1"/>
  <c r="B7" i="8"/>
  <c r="C7" i="8" s="1"/>
  <c r="B8" i="8"/>
  <c r="C8" i="8" s="1"/>
  <c r="B9" i="8"/>
  <c r="C9" i="8" s="1"/>
  <c r="B11" i="8"/>
  <c r="C11" i="8" s="1"/>
  <c r="B4" i="8"/>
  <c r="C4" i="8" s="1"/>
  <c r="E4" i="8" s="1"/>
  <c r="C4" i="7"/>
  <c r="D4" i="7"/>
  <c r="E4" i="7"/>
  <c r="F4" i="7"/>
  <c r="B4" i="7"/>
  <c r="B5" i="10" l="1"/>
  <c r="D8" i="16"/>
  <c r="H8" i="16" s="1"/>
  <c r="D10" i="16"/>
  <c r="H10" i="16" s="1"/>
  <c r="D5" i="16"/>
  <c r="H5" i="16" s="1"/>
  <c r="D11" i="16"/>
  <c r="H11" i="16" s="1"/>
  <c r="D9" i="16"/>
  <c r="H9" i="16" s="1"/>
  <c r="D12" i="16"/>
  <c r="H12" i="16" s="1"/>
  <c r="D14" i="16"/>
  <c r="H14" i="16" s="1"/>
  <c r="F4" i="16"/>
  <c r="G4" i="16"/>
  <c r="H4" i="16"/>
  <c r="G5" i="16"/>
  <c r="G6" i="16"/>
  <c r="G7" i="16"/>
  <c r="G13" i="16"/>
  <c r="H4" i="15"/>
  <c r="B10" i="15"/>
  <c r="G5" i="14"/>
  <c r="B11" i="14"/>
  <c r="H4" i="13"/>
  <c r="B10" i="13"/>
  <c r="F30" i="12"/>
  <c r="I30" i="12" s="1"/>
  <c r="L30" i="12" s="1"/>
  <c r="C15" i="11"/>
  <c r="D4" i="11" s="1"/>
  <c r="E4" i="11"/>
  <c r="E5" i="11" s="1"/>
  <c r="E6" i="11" s="1"/>
  <c r="E7" i="11" s="1"/>
  <c r="E8" i="11" s="1"/>
  <c r="E9" i="11" s="1"/>
  <c r="E10" i="11" s="1"/>
  <c r="E11" i="11" s="1"/>
  <c r="E12" i="11" s="1"/>
  <c r="E13" i="11" s="1"/>
  <c r="E14" i="11" s="1"/>
  <c r="E5" i="10"/>
  <c r="C9" i="10" s="1"/>
  <c r="B5" i="9"/>
  <c r="E5" i="9" s="1"/>
  <c r="C9" i="9" s="1"/>
  <c r="E5" i="8"/>
  <c r="E6" i="8" s="1"/>
  <c r="E7" i="8" s="1"/>
  <c r="E8" i="8" s="1"/>
  <c r="E9" i="8" s="1"/>
  <c r="E10" i="8" s="1"/>
  <c r="E11" i="8" s="1"/>
  <c r="C12" i="8"/>
  <c r="B11" i="7"/>
  <c r="B12" i="7" s="1"/>
  <c r="B10" i="7"/>
  <c r="G4" i="7"/>
  <c r="F5" i="16" l="1"/>
  <c r="F6" i="16" s="1"/>
  <c r="F7" i="16" s="1"/>
  <c r="F8" i="16" s="1"/>
  <c r="F9" i="16" s="1"/>
  <c r="F10" i="16" s="1"/>
  <c r="F11" i="16" s="1"/>
  <c r="G12" i="16"/>
  <c r="G11" i="16"/>
  <c r="G10" i="16"/>
  <c r="G8" i="16"/>
  <c r="F12" i="16"/>
  <c r="F13" i="16" s="1"/>
  <c r="F14" i="16" s="1"/>
  <c r="G14" i="16"/>
  <c r="H15" i="16"/>
  <c r="B15" i="7"/>
  <c r="B5" i="7" s="1"/>
  <c r="G9" i="16"/>
  <c r="D15" i="16"/>
  <c r="G15" i="16"/>
  <c r="C20" i="16" s="1"/>
  <c r="B15" i="15"/>
  <c r="E5" i="15" s="1"/>
  <c r="B16" i="14"/>
  <c r="B15" i="13"/>
  <c r="E5" i="13" s="1"/>
  <c r="C34" i="12"/>
  <c r="C17" i="11"/>
  <c r="D9" i="11"/>
  <c r="D10" i="11"/>
  <c r="D11" i="11"/>
  <c r="D12" i="11"/>
  <c r="D13" i="11"/>
  <c r="D14" i="11"/>
  <c r="D5" i="11"/>
  <c r="D15" i="11" s="1"/>
  <c r="D6" i="11"/>
  <c r="D7" i="11"/>
  <c r="D8" i="11"/>
  <c r="H4" i="11"/>
  <c r="G4" i="11"/>
  <c r="F4" i="11"/>
  <c r="B10" i="10"/>
  <c r="D9" i="10"/>
  <c r="B10" i="9"/>
  <c r="C10" i="9" s="1"/>
  <c r="D9" i="9"/>
  <c r="D4" i="8"/>
  <c r="G4" i="8" s="1"/>
  <c r="C23" i="8"/>
  <c r="D5" i="8"/>
  <c r="D6" i="8"/>
  <c r="D7" i="8"/>
  <c r="D8" i="8"/>
  <c r="D9" i="8"/>
  <c r="D10" i="8"/>
  <c r="D11" i="8"/>
  <c r="D5" i="7"/>
  <c r="E5" i="7"/>
  <c r="F5" i="7"/>
  <c r="B16" i="7"/>
  <c r="C5" i="7" l="1"/>
  <c r="C21" i="16"/>
  <c r="H4" i="8"/>
  <c r="I4" i="8"/>
  <c r="F5" i="11"/>
  <c r="F4" i="8"/>
  <c r="F5" i="8" s="1"/>
  <c r="F6" i="8" s="1"/>
  <c r="F7" i="8" s="1"/>
  <c r="F8" i="8" s="1"/>
  <c r="F9" i="8" s="1"/>
  <c r="F10" i="8" s="1"/>
  <c r="F11" i="8" s="1"/>
  <c r="J4" i="8"/>
  <c r="E6" i="13"/>
  <c r="E7" i="13"/>
  <c r="E8" i="13"/>
  <c r="E6" i="15"/>
  <c r="E7" i="15"/>
  <c r="E8" i="15"/>
  <c r="B16" i="15"/>
  <c r="C5" i="15"/>
  <c r="D5" i="15"/>
  <c r="F5" i="15"/>
  <c r="G5" i="15"/>
  <c r="B5" i="15"/>
  <c r="B17" i="14"/>
  <c r="C6" i="14"/>
  <c r="D6" i="14"/>
  <c r="E6" i="14"/>
  <c r="F6" i="14"/>
  <c r="B6" i="14"/>
  <c r="B16" i="13"/>
  <c r="C5" i="13"/>
  <c r="D5" i="13"/>
  <c r="F5" i="13"/>
  <c r="G5" i="13"/>
  <c r="B5" i="13"/>
  <c r="G34" i="12"/>
  <c r="D34" i="12"/>
  <c r="B35" i="12"/>
  <c r="G8" i="11"/>
  <c r="H8" i="11"/>
  <c r="G7" i="11"/>
  <c r="H7" i="11"/>
  <c r="G6" i="11"/>
  <c r="H6" i="11"/>
  <c r="F6" i="11"/>
  <c r="F7" i="11" s="1"/>
  <c r="F8" i="11" s="1"/>
  <c r="F9" i="11" s="1"/>
  <c r="F10" i="11" s="1"/>
  <c r="F11" i="11" s="1"/>
  <c r="F12" i="11" s="1"/>
  <c r="F13" i="11" s="1"/>
  <c r="F14" i="11" s="1"/>
  <c r="G5" i="11"/>
  <c r="H5" i="11"/>
  <c r="G14" i="11"/>
  <c r="H14" i="11"/>
  <c r="G13" i="11"/>
  <c r="H13" i="11"/>
  <c r="G12" i="11"/>
  <c r="H12" i="11"/>
  <c r="G11" i="11"/>
  <c r="H11" i="11"/>
  <c r="G10" i="11"/>
  <c r="H10" i="11"/>
  <c r="G9" i="11"/>
  <c r="H9" i="11"/>
  <c r="C10" i="10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J7" i="8"/>
  <c r="I7" i="8"/>
  <c r="H7" i="8"/>
  <c r="G7" i="8"/>
  <c r="J6" i="8"/>
  <c r="I6" i="8"/>
  <c r="H6" i="8"/>
  <c r="G6" i="8"/>
  <c r="J5" i="8"/>
  <c r="J12" i="8" s="1"/>
  <c r="C29" i="8" s="1"/>
  <c r="I5" i="8"/>
  <c r="H5" i="8"/>
  <c r="G5" i="8"/>
  <c r="D12" i="8"/>
  <c r="F6" i="7"/>
  <c r="F7" i="7"/>
  <c r="F8" i="7"/>
  <c r="E6" i="7"/>
  <c r="E7" i="7"/>
  <c r="E8" i="7"/>
  <c r="D6" i="7"/>
  <c r="D7" i="7"/>
  <c r="D8" i="7"/>
  <c r="C6" i="7"/>
  <c r="C7" i="7"/>
  <c r="C8" i="7"/>
  <c r="B8" i="7"/>
  <c r="B7" i="7"/>
  <c r="B6" i="7"/>
  <c r="G5" i="7"/>
  <c r="H12" i="8" l="1"/>
  <c r="C27" i="8" s="1"/>
  <c r="G15" i="11"/>
  <c r="C20" i="11" s="1"/>
  <c r="H15" i="11"/>
  <c r="C21" i="11" s="1"/>
  <c r="G12" i="8"/>
  <c r="C26" i="8" s="1"/>
  <c r="C30" i="8" s="1"/>
  <c r="F30" i="8" s="1"/>
  <c r="I12" i="8"/>
  <c r="C28" i="8" s="1"/>
  <c r="C31" i="8"/>
  <c r="C32" i="8"/>
  <c r="G7" i="7"/>
  <c r="B20" i="7" s="1"/>
  <c r="B21" i="7" s="1"/>
  <c r="B22" i="7" s="1"/>
  <c r="G8" i="7"/>
  <c r="B23" i="7" s="1"/>
  <c r="B24" i="7" s="1"/>
  <c r="G6" i="7"/>
  <c r="B17" i="7" s="1"/>
  <c r="B18" i="7" s="1"/>
  <c r="B8" i="15"/>
  <c r="B7" i="15"/>
  <c r="B6" i="15"/>
  <c r="H5" i="15"/>
  <c r="G8" i="15"/>
  <c r="G7" i="15"/>
  <c r="G6" i="15"/>
  <c r="F8" i="15"/>
  <c r="F7" i="15"/>
  <c r="F6" i="15"/>
  <c r="D8" i="15"/>
  <c r="D7" i="15"/>
  <c r="D6" i="15"/>
  <c r="C8" i="15"/>
  <c r="C7" i="15"/>
  <c r="C6" i="15"/>
  <c r="B9" i="14"/>
  <c r="B8" i="14"/>
  <c r="B7" i="14"/>
  <c r="G6" i="14"/>
  <c r="F9" i="14"/>
  <c r="F8" i="14"/>
  <c r="F7" i="14"/>
  <c r="E9" i="14"/>
  <c r="E8" i="14"/>
  <c r="E7" i="14"/>
  <c r="D9" i="14"/>
  <c r="D8" i="14"/>
  <c r="D7" i="14"/>
  <c r="C9" i="14"/>
  <c r="C8" i="14"/>
  <c r="C7" i="14"/>
  <c r="B8" i="13"/>
  <c r="B7" i="13"/>
  <c r="B6" i="13"/>
  <c r="H5" i="13"/>
  <c r="G8" i="13"/>
  <c r="G7" i="13"/>
  <c r="G6" i="13"/>
  <c r="F8" i="13"/>
  <c r="F7" i="13"/>
  <c r="F6" i="13"/>
  <c r="D8" i="13"/>
  <c r="D7" i="13"/>
  <c r="D6" i="13"/>
  <c r="C8" i="13"/>
  <c r="C7" i="13"/>
  <c r="C6" i="13"/>
  <c r="C35" i="12"/>
  <c r="D35" i="12"/>
  <c r="B11" i="10"/>
  <c r="D10" i="10"/>
  <c r="B11" i="9"/>
  <c r="C11" i="9" s="1"/>
  <c r="D10" i="9"/>
  <c r="B30" i="7" l="1"/>
  <c r="B26" i="7"/>
  <c r="B19" i="7"/>
  <c r="B28" i="7" s="1"/>
  <c r="B25" i="7"/>
  <c r="C35" i="8"/>
  <c r="C36" i="8" s="1"/>
  <c r="C33" i="8"/>
  <c r="C34" i="8" s="1"/>
  <c r="H6" i="15"/>
  <c r="B17" i="15" s="1"/>
  <c r="B18" i="15" s="1"/>
  <c r="B19" i="15" s="1"/>
  <c r="H7" i="15"/>
  <c r="B20" i="15" s="1"/>
  <c r="H8" i="15"/>
  <c r="B23" i="15" s="1"/>
  <c r="G7" i="14"/>
  <c r="B18" i="14" s="1"/>
  <c r="B19" i="14" s="1"/>
  <c r="B20" i="14" s="1"/>
  <c r="G8" i="14"/>
  <c r="B21" i="14" s="1"/>
  <c r="G9" i="14"/>
  <c r="B24" i="14" s="1"/>
  <c r="H6" i="13"/>
  <c r="B17" i="13" s="1"/>
  <c r="H7" i="13"/>
  <c r="B20" i="13" s="1"/>
  <c r="H8" i="13"/>
  <c r="B23" i="13" s="1"/>
  <c r="G35" i="12"/>
  <c r="B36" i="12"/>
  <c r="C11" i="10"/>
  <c r="B33" i="7"/>
  <c r="B31" i="7"/>
  <c r="B29" i="7"/>
  <c r="B27" i="7"/>
  <c r="B32" i="7"/>
  <c r="B18" i="13" l="1"/>
  <c r="B19" i="13" s="1"/>
  <c r="B30" i="15"/>
  <c r="B24" i="15"/>
  <c r="B25" i="15" s="1"/>
  <c r="B32" i="15" s="1"/>
  <c r="B26" i="15"/>
  <c r="B21" i="15"/>
  <c r="B22" i="15" s="1"/>
  <c r="B28" i="15" s="1"/>
  <c r="B31" i="14"/>
  <c r="B25" i="14"/>
  <c r="B26" i="14" s="1"/>
  <c r="B33" i="14" s="1"/>
  <c r="B27" i="14"/>
  <c r="B22" i="14"/>
  <c r="B23" i="14" s="1"/>
  <c r="B29" i="14" s="1"/>
  <c r="B30" i="13"/>
  <c r="B24" i="13"/>
  <c r="B25" i="13" s="1"/>
  <c r="B26" i="13"/>
  <c r="B21" i="13"/>
  <c r="B22" i="13" s="1"/>
  <c r="C36" i="12"/>
  <c r="D36" i="12"/>
  <c r="B12" i="10"/>
  <c r="D11" i="10"/>
  <c r="B12" i="9"/>
  <c r="C12" i="9" s="1"/>
  <c r="D11" i="9"/>
  <c r="B28" i="13" l="1"/>
  <c r="B32" i="13"/>
  <c r="B27" i="15"/>
  <c r="B29" i="15"/>
  <c r="B31" i="15"/>
  <c r="B33" i="15"/>
  <c r="B28" i="14"/>
  <c r="B30" i="14"/>
  <c r="B32" i="14"/>
  <c r="B34" i="14"/>
  <c r="B27" i="13"/>
  <c r="B29" i="13"/>
  <c r="B31" i="13"/>
  <c r="B33" i="13"/>
  <c r="B37" i="12"/>
  <c r="G36" i="12"/>
  <c r="C12" i="10"/>
  <c r="D12" i="9"/>
  <c r="C37" i="12" l="1"/>
  <c r="D37" i="12" s="1"/>
  <c r="B13" i="10"/>
  <c r="D12" i="10"/>
  <c r="B13" i="9"/>
  <c r="C13" i="9" s="1"/>
  <c r="B38" i="12" l="1"/>
  <c r="G37" i="12"/>
  <c r="C13" i="10"/>
  <c r="D13" i="9"/>
  <c r="C38" i="12" l="1"/>
  <c r="D38" i="12"/>
  <c r="B14" i="10"/>
  <c r="D13" i="10"/>
  <c r="B14" i="9"/>
  <c r="C14" i="9" s="1"/>
  <c r="B39" i="12" l="1"/>
  <c r="G38" i="12"/>
  <c r="C14" i="10"/>
  <c r="B15" i="10" s="1"/>
  <c r="B15" i="9"/>
  <c r="C15" i="9" s="1"/>
  <c r="D14" i="9"/>
  <c r="C39" i="12" l="1"/>
  <c r="D39" i="12" s="1"/>
  <c r="C15" i="10"/>
  <c r="B16" i="10" s="1"/>
  <c r="D14" i="10"/>
  <c r="B16" i="9"/>
  <c r="C16" i="9" s="1"/>
  <c r="D15" i="9"/>
  <c r="B40" i="12" l="1"/>
  <c r="G39" i="12"/>
  <c r="C16" i="10"/>
  <c r="B17" i="10" s="1"/>
  <c r="D15" i="10"/>
  <c r="B17" i="9"/>
  <c r="C17" i="9" s="1"/>
  <c r="D16" i="9"/>
  <c r="C40" i="12" l="1"/>
  <c r="D40" i="12" s="1"/>
  <c r="C17" i="10"/>
  <c r="E9" i="10" s="1" a="1"/>
  <c r="D16" i="10"/>
  <c r="D17" i="9"/>
  <c r="B41" i="12" l="1"/>
  <c r="G40" i="12"/>
  <c r="E9" i="10"/>
  <c r="I9" i="10" s="1"/>
  <c r="E10" i="10"/>
  <c r="I10" i="10" s="1"/>
  <c r="E11" i="10"/>
  <c r="I11" i="10" s="1"/>
  <c r="E12" i="10"/>
  <c r="I12" i="10" s="1"/>
  <c r="E13" i="10"/>
  <c r="I13" i="10" s="1"/>
  <c r="E14" i="10"/>
  <c r="I14" i="10" s="1"/>
  <c r="E15" i="10"/>
  <c r="I15" i="10" s="1"/>
  <c r="E16" i="10"/>
  <c r="I16" i="10" s="1"/>
  <c r="E17" i="10"/>
  <c r="E18" i="10"/>
  <c r="B18" i="10"/>
  <c r="D17" i="10"/>
  <c r="B18" i="9"/>
  <c r="C18" i="9" s="1"/>
  <c r="E9" i="9" a="1"/>
  <c r="I19" i="10" l="1"/>
  <c r="C41" i="12"/>
  <c r="D41" i="12" s="1"/>
  <c r="C18" i="10"/>
  <c r="D18" i="10" s="1"/>
  <c r="E9" i="9"/>
  <c r="E10" i="9"/>
  <c r="E11" i="9"/>
  <c r="E12" i="9"/>
  <c r="E13" i="9"/>
  <c r="E14" i="9"/>
  <c r="E15" i="9"/>
  <c r="E16" i="9"/>
  <c r="E17" i="9"/>
  <c r="E18" i="9"/>
  <c r="D18" i="9"/>
  <c r="B42" i="12" l="1"/>
  <c r="G41" i="12"/>
  <c r="E19" i="10"/>
  <c r="C30" i="10" s="1"/>
  <c r="G9" i="10"/>
  <c r="G10" i="10" s="1"/>
  <c r="G11" i="10" s="1"/>
  <c r="G12" i="10" s="1"/>
  <c r="G13" i="10" s="1"/>
  <c r="G14" i="10" s="1"/>
  <c r="G15" i="10" s="1"/>
  <c r="G16" i="10" s="1"/>
  <c r="G17" i="10" s="1"/>
  <c r="G18" i="10" s="1"/>
  <c r="F10" i="10"/>
  <c r="F12" i="10"/>
  <c r="F14" i="10"/>
  <c r="F16" i="10"/>
  <c r="F18" i="10"/>
  <c r="E19" i="9"/>
  <c r="C22" i="9" s="1"/>
  <c r="G9" i="9"/>
  <c r="G10" i="9" s="1"/>
  <c r="G11" i="9" s="1"/>
  <c r="G12" i="9" s="1"/>
  <c r="G13" i="9" s="1"/>
  <c r="G14" i="9" s="1"/>
  <c r="G15" i="9" s="1"/>
  <c r="G16" i="9" s="1"/>
  <c r="G17" i="9" s="1"/>
  <c r="G18" i="9" s="1"/>
  <c r="F9" i="9" l="1"/>
  <c r="I9" i="9" s="1"/>
  <c r="F17" i="10"/>
  <c r="J17" i="10" s="1"/>
  <c r="F15" i="10"/>
  <c r="F13" i="10"/>
  <c r="I32" i="10" s="1"/>
  <c r="F11" i="10"/>
  <c r="J11" i="10" s="1"/>
  <c r="F9" i="10"/>
  <c r="H9" i="10" s="1"/>
  <c r="H10" i="10" s="1"/>
  <c r="H11" i="10" s="1"/>
  <c r="C42" i="12"/>
  <c r="D42" i="12"/>
  <c r="F32" i="10"/>
  <c r="J16" i="10"/>
  <c r="J15" i="10"/>
  <c r="J14" i="10"/>
  <c r="J12" i="10"/>
  <c r="J10" i="10"/>
  <c r="J18" i="10"/>
  <c r="F10" i="9"/>
  <c r="I10" i="9" s="1"/>
  <c r="F11" i="9"/>
  <c r="F12" i="9"/>
  <c r="F13" i="9"/>
  <c r="F14" i="9"/>
  <c r="F15" i="9"/>
  <c r="F16" i="9"/>
  <c r="F17" i="9"/>
  <c r="F18" i="9"/>
  <c r="H9" i="9"/>
  <c r="J9" i="10" l="1"/>
  <c r="F19" i="10"/>
  <c r="J13" i="10"/>
  <c r="C32" i="10"/>
  <c r="B43" i="12"/>
  <c r="G42" i="12"/>
  <c r="H12" i="10"/>
  <c r="H13" i="10" s="1"/>
  <c r="C31" i="10"/>
  <c r="H14" i="10"/>
  <c r="H15" i="10" s="1"/>
  <c r="H16" i="10" s="1"/>
  <c r="H17" i="10" s="1"/>
  <c r="H18" i="10" s="1"/>
  <c r="J19" i="10"/>
  <c r="I18" i="9"/>
  <c r="I17" i="9"/>
  <c r="I16" i="9"/>
  <c r="I24" i="9"/>
  <c r="F24" i="9"/>
  <c r="C24" i="9" s="1"/>
  <c r="I15" i="9"/>
  <c r="I14" i="9"/>
  <c r="I13" i="9"/>
  <c r="I12" i="9"/>
  <c r="I11" i="9"/>
  <c r="H10" i="9"/>
  <c r="H11" i="9" s="1"/>
  <c r="H12" i="9" s="1"/>
  <c r="H13" i="9" s="1"/>
  <c r="F19" i="9"/>
  <c r="I19" i="9" l="1"/>
  <c r="J10" i="9" s="1"/>
  <c r="C43" i="12"/>
  <c r="D43" i="12" s="1"/>
  <c r="C33" i="10"/>
  <c r="M9" i="10"/>
  <c r="L9" i="10"/>
  <c r="K9" i="10"/>
  <c r="M10" i="10"/>
  <c r="L10" i="10"/>
  <c r="K10" i="10"/>
  <c r="M11" i="10"/>
  <c r="L11" i="10"/>
  <c r="K11" i="10"/>
  <c r="M12" i="10"/>
  <c r="L12" i="10"/>
  <c r="K12" i="10"/>
  <c r="M13" i="10"/>
  <c r="L13" i="10"/>
  <c r="K13" i="10"/>
  <c r="M14" i="10"/>
  <c r="L14" i="10"/>
  <c r="K14" i="10"/>
  <c r="M15" i="10"/>
  <c r="L15" i="10"/>
  <c r="K15" i="10"/>
  <c r="M16" i="10"/>
  <c r="L16" i="10"/>
  <c r="K16" i="10"/>
  <c r="M17" i="10"/>
  <c r="L17" i="10"/>
  <c r="K17" i="10"/>
  <c r="M18" i="10"/>
  <c r="L18" i="10"/>
  <c r="K18" i="10"/>
  <c r="C23" i="9"/>
  <c r="H14" i="9"/>
  <c r="H15" i="9" s="1"/>
  <c r="H16" i="9" s="1"/>
  <c r="H17" i="9" s="1"/>
  <c r="H18" i="9" s="1"/>
  <c r="K10" i="9"/>
  <c r="L10" i="9"/>
  <c r="J12" i="9"/>
  <c r="K13" i="9"/>
  <c r="L15" i="9"/>
  <c r="J15" i="9"/>
  <c r="K18" i="9"/>
  <c r="L18" i="9"/>
  <c r="K15" i="9" l="1"/>
  <c r="L17" i="9"/>
  <c r="K17" i="9"/>
  <c r="L14" i="9"/>
  <c r="J11" i="9"/>
  <c r="L9" i="9"/>
  <c r="L19" i="9" s="1"/>
  <c r="L11" i="9"/>
  <c r="J17" i="9"/>
  <c r="J9" i="9"/>
  <c r="K12" i="9"/>
  <c r="K14" i="9"/>
  <c r="C25" i="9"/>
  <c r="J13" i="9"/>
  <c r="K11" i="9"/>
  <c r="L12" i="9"/>
  <c r="J14" i="9"/>
  <c r="K9" i="9"/>
  <c r="J16" i="9"/>
  <c r="L16" i="9"/>
  <c r="J18" i="9"/>
  <c r="K16" i="9"/>
  <c r="L13" i="9"/>
  <c r="B44" i="12"/>
  <c r="G43" i="12"/>
  <c r="K19" i="10"/>
  <c r="L19" i="10"/>
  <c r="C35" i="10" s="1"/>
  <c r="M19" i="10"/>
  <c r="C36" i="10" s="1"/>
  <c r="J19" i="9" l="1"/>
  <c r="K19" i="9"/>
  <c r="C44" i="12"/>
  <c r="D44" i="12" s="1"/>
  <c r="C28" i="9"/>
  <c r="C27" i="9"/>
  <c r="I26" i="9"/>
  <c r="C26" i="9"/>
  <c r="F26" i="9" s="1"/>
  <c r="C34" i="10"/>
  <c r="F34" i="10" s="1"/>
  <c r="C38" i="10" l="1"/>
  <c r="C37" i="10"/>
  <c r="B45" i="12"/>
  <c r="G44" i="12"/>
  <c r="C29" i="9"/>
  <c r="C30" i="9" s="1"/>
  <c r="C31" i="9"/>
  <c r="C32" i="9" s="1"/>
  <c r="C45" i="12" l="1"/>
  <c r="D45" i="12" s="1"/>
  <c r="B46" i="12" l="1"/>
  <c r="G45" i="12"/>
  <c r="C46" i="12" l="1"/>
  <c r="D46" i="12" s="1"/>
  <c r="B47" i="12" l="1"/>
  <c r="G46" i="12"/>
  <c r="C47" i="12" l="1"/>
  <c r="D47" i="12" s="1"/>
  <c r="B48" i="12" l="1"/>
  <c r="G47" i="12"/>
  <c r="C48" i="12" l="1"/>
  <c r="D48" i="12" s="1"/>
  <c r="B49" i="12" l="1"/>
  <c r="G48" i="12"/>
  <c r="C49" i="12" l="1"/>
  <c r="D49" i="12" s="1"/>
  <c r="B50" i="12" l="1"/>
  <c r="G49" i="12"/>
  <c r="C50" i="12" l="1"/>
  <c r="D50" i="12" s="1"/>
  <c r="B51" i="12" l="1"/>
  <c r="G50" i="12"/>
  <c r="C51" i="12" l="1"/>
  <c r="D51" i="12" s="1"/>
  <c r="B52" i="12" l="1"/>
  <c r="G51" i="12"/>
  <c r="C52" i="12" l="1"/>
  <c r="D52" i="12" s="1"/>
  <c r="B53" i="12" l="1"/>
  <c r="G52" i="12"/>
  <c r="E34" i="12" a="1"/>
  <c r="E34" i="12" l="1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C53" i="12"/>
  <c r="G53" i="12" s="1"/>
  <c r="G54" i="12" s="1"/>
  <c r="D53" i="12"/>
  <c r="E54" i="12" l="1"/>
  <c r="F34" i="12" s="1"/>
  <c r="F35" i="12" l="1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 l="1"/>
</calcChain>
</file>

<file path=xl/sharedStrings.xml><?xml version="1.0" encoding="utf-8"?>
<sst xmlns="http://schemas.openxmlformats.org/spreadsheetml/2006/main" count="307" uniqueCount="94">
  <si>
    <t>Turma 1</t>
  </si>
  <si>
    <t>Turma 2</t>
  </si>
  <si>
    <t>Idade</t>
  </si>
  <si>
    <t>Frequência (turma 1)</t>
  </si>
  <si>
    <t>Frequência (turma 2)</t>
  </si>
  <si>
    <t>S</t>
  </si>
  <si>
    <t>m</t>
  </si>
  <si>
    <t>n</t>
  </si>
  <si>
    <r>
      <t>m</t>
    </r>
    <r>
      <rPr>
        <b/>
        <vertAlign val="subscript"/>
        <sz val="12"/>
        <color theme="1"/>
        <rFont val="Symbol"/>
        <family val="1"/>
        <charset val="2"/>
      </rPr>
      <t>2</t>
    </r>
    <r>
      <rPr>
        <sz val="11"/>
        <color indexed="8"/>
        <rFont val="Calibri"/>
        <family val="2"/>
      </rPr>
      <t/>
    </r>
  </si>
  <si>
    <r>
      <t>m</t>
    </r>
    <r>
      <rPr>
        <b/>
        <vertAlign val="subscript"/>
        <sz val="12"/>
        <color theme="1"/>
        <rFont val="Symbol"/>
        <family val="1"/>
        <charset val="2"/>
      </rPr>
      <t>3</t>
    </r>
    <r>
      <rPr>
        <sz val="11"/>
        <color indexed="8"/>
        <rFont val="Calibri"/>
        <family val="2"/>
      </rPr>
      <t/>
    </r>
  </si>
  <si>
    <r>
      <t>m</t>
    </r>
    <r>
      <rPr>
        <b/>
        <vertAlign val="subscript"/>
        <sz val="12"/>
        <color theme="1"/>
        <rFont val="Symbol"/>
        <family val="1"/>
        <charset val="2"/>
      </rPr>
      <t>4</t>
    </r>
    <r>
      <rPr>
        <sz val="11"/>
        <color indexed="8"/>
        <rFont val="Calibri"/>
        <family val="2"/>
      </rPr>
      <t/>
    </r>
  </si>
  <si>
    <t>t</t>
  </si>
  <si>
    <t>k</t>
  </si>
  <si>
    <r>
      <t>x</t>
    </r>
    <r>
      <rPr>
        <b/>
        <vertAlign val="subscript"/>
        <sz val="12"/>
        <color theme="1"/>
        <rFont val="Euclid"/>
        <family val="1"/>
      </rPr>
      <t>i</t>
    </r>
  </si>
  <si>
    <r>
      <t>x</t>
    </r>
    <r>
      <rPr>
        <b/>
        <vertAlign val="subscript"/>
        <sz val="12"/>
        <color theme="1"/>
        <rFont val="Euclid"/>
        <family val="1"/>
      </rPr>
      <t>i</t>
    </r>
    <r>
      <rPr>
        <b/>
        <sz val="12"/>
        <color theme="1"/>
        <rFont val="Symbol"/>
        <family val="1"/>
        <charset val="2"/>
      </rPr>
      <t>-m</t>
    </r>
  </si>
  <si>
    <r>
      <t>(x</t>
    </r>
    <r>
      <rPr>
        <b/>
        <vertAlign val="subscript"/>
        <sz val="12"/>
        <color theme="1"/>
        <rFont val="Euclid"/>
        <family val="1"/>
      </rPr>
      <t>i</t>
    </r>
    <r>
      <rPr>
        <b/>
        <sz val="12"/>
        <color theme="1"/>
        <rFont val="Euclid"/>
        <family val="1"/>
      </rPr>
      <t>-</t>
    </r>
    <r>
      <rPr>
        <b/>
        <sz val="12"/>
        <color theme="1"/>
        <rFont val="Symbol"/>
        <family val="1"/>
        <charset val="2"/>
      </rPr>
      <t>m</t>
    </r>
    <r>
      <rPr>
        <b/>
        <sz val="12"/>
        <color theme="1"/>
        <rFont val="Euclid"/>
        <family val="1"/>
      </rPr>
      <t>)</t>
    </r>
    <r>
      <rPr>
        <b/>
        <vertAlign val="superscript"/>
        <sz val="12"/>
        <color theme="1"/>
        <rFont val="Euclid"/>
        <family val="1"/>
      </rPr>
      <t>2</t>
    </r>
  </si>
  <si>
    <r>
      <t>(x</t>
    </r>
    <r>
      <rPr>
        <b/>
        <vertAlign val="subscript"/>
        <sz val="12"/>
        <color theme="1"/>
        <rFont val="Euclid"/>
        <family val="1"/>
      </rPr>
      <t>i</t>
    </r>
    <r>
      <rPr>
        <b/>
        <sz val="12"/>
        <color theme="1"/>
        <rFont val="Euclid"/>
        <family val="1"/>
      </rPr>
      <t>-</t>
    </r>
    <r>
      <rPr>
        <b/>
        <sz val="12"/>
        <color theme="1"/>
        <rFont val="Symbol"/>
        <family val="1"/>
        <charset val="2"/>
      </rPr>
      <t>m</t>
    </r>
    <r>
      <rPr>
        <b/>
        <sz val="12"/>
        <color theme="1"/>
        <rFont val="Euclid"/>
        <family val="1"/>
      </rPr>
      <t>)</t>
    </r>
    <r>
      <rPr>
        <b/>
        <vertAlign val="superscript"/>
        <sz val="12"/>
        <color theme="1"/>
        <rFont val="Euclid"/>
        <family val="1"/>
      </rPr>
      <t>3</t>
    </r>
    <r>
      <rPr>
        <sz val="11"/>
        <color indexed="8"/>
        <rFont val="Calibri"/>
        <family val="2"/>
      </rPr>
      <t/>
    </r>
  </si>
  <si>
    <r>
      <t>(x</t>
    </r>
    <r>
      <rPr>
        <b/>
        <vertAlign val="subscript"/>
        <sz val="12"/>
        <color theme="1"/>
        <rFont val="Euclid"/>
        <family val="1"/>
      </rPr>
      <t>i</t>
    </r>
    <r>
      <rPr>
        <b/>
        <sz val="12"/>
        <color theme="1"/>
        <rFont val="Euclid"/>
        <family val="1"/>
      </rPr>
      <t>-</t>
    </r>
    <r>
      <rPr>
        <b/>
        <sz val="12"/>
        <color theme="1"/>
        <rFont val="Symbol"/>
        <family val="1"/>
        <charset val="2"/>
      </rPr>
      <t>m</t>
    </r>
    <r>
      <rPr>
        <b/>
        <sz val="12"/>
        <color theme="1"/>
        <rFont val="Euclid"/>
        <family val="1"/>
      </rPr>
      <t>)</t>
    </r>
    <r>
      <rPr>
        <b/>
        <vertAlign val="superscript"/>
        <sz val="12"/>
        <color theme="1"/>
        <rFont val="Euclid"/>
        <family val="1"/>
      </rPr>
      <t>4</t>
    </r>
    <r>
      <rPr>
        <sz val="11"/>
        <color indexed="8"/>
        <rFont val="Calibri"/>
        <family val="2"/>
      </rPr>
      <t/>
    </r>
  </si>
  <si>
    <t>h</t>
  </si>
  <si>
    <t>z</t>
  </si>
  <si>
    <t>-</t>
  </si>
  <si>
    <t>x</t>
  </si>
  <si>
    <r>
      <t>m</t>
    </r>
    <r>
      <rPr>
        <b/>
        <vertAlign val="subscript"/>
        <sz val="12"/>
        <color theme="1"/>
        <rFont val="Euclid"/>
        <family val="1"/>
      </rPr>
      <t>2</t>
    </r>
  </si>
  <si>
    <r>
      <t>k</t>
    </r>
    <r>
      <rPr>
        <b/>
        <vertAlign val="subscript"/>
        <sz val="12"/>
        <color theme="1"/>
        <rFont val="Euclid"/>
        <family val="1"/>
      </rPr>
      <t>2</t>
    </r>
  </si>
  <si>
    <r>
      <t>m</t>
    </r>
    <r>
      <rPr>
        <b/>
        <vertAlign val="subscript"/>
        <sz val="12"/>
        <color theme="1"/>
        <rFont val="Euclid"/>
        <family val="1"/>
      </rPr>
      <t>3</t>
    </r>
  </si>
  <si>
    <r>
      <t>k</t>
    </r>
    <r>
      <rPr>
        <b/>
        <vertAlign val="subscript"/>
        <sz val="12"/>
        <color theme="1"/>
        <rFont val="Euclid"/>
        <family val="1"/>
      </rPr>
      <t>3</t>
    </r>
  </si>
  <si>
    <t>m4</t>
  </si>
  <si>
    <t>k4</t>
  </si>
  <si>
    <t>CA'</t>
  </si>
  <si>
    <t>CA''</t>
  </si>
  <si>
    <t>CK'</t>
  </si>
  <si>
    <t>CK''</t>
  </si>
  <si>
    <t>CA</t>
  </si>
  <si>
    <t>CK</t>
  </si>
  <si>
    <t>Med</t>
  </si>
  <si>
    <t>Moda</t>
  </si>
  <si>
    <t>Soma</t>
  </si>
  <si>
    <r>
      <t>F</t>
    </r>
    <r>
      <rPr>
        <b/>
        <vertAlign val="subscript"/>
        <sz val="12"/>
        <color theme="1"/>
        <rFont val="Euclid"/>
        <family val="1"/>
      </rPr>
      <t>k</t>
    </r>
  </si>
  <si>
    <r>
      <t>f</t>
    </r>
    <r>
      <rPr>
        <b/>
        <vertAlign val="subscript"/>
        <sz val="12"/>
        <color theme="1"/>
        <rFont val="Euclid"/>
        <family val="1"/>
      </rPr>
      <t>k</t>
    </r>
  </si>
  <si>
    <r>
      <t>F'</t>
    </r>
    <r>
      <rPr>
        <b/>
        <vertAlign val="subscript"/>
        <sz val="12"/>
        <color theme="1"/>
        <rFont val="Euclid"/>
        <family val="1"/>
      </rPr>
      <t>k</t>
    </r>
  </si>
  <si>
    <r>
      <t>f'</t>
    </r>
    <r>
      <rPr>
        <b/>
        <vertAlign val="subscript"/>
        <sz val="12"/>
        <color theme="1"/>
        <rFont val="Euclid"/>
        <family val="1"/>
      </rPr>
      <t>k</t>
    </r>
  </si>
  <si>
    <r>
      <t>x</t>
    </r>
    <r>
      <rPr>
        <b/>
        <vertAlign val="subscript"/>
        <sz val="12"/>
        <color theme="1"/>
        <rFont val="Euclid"/>
        <family val="1"/>
      </rPr>
      <t>k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</si>
  <si>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.x</t>
    </r>
    <r>
      <rPr>
        <b/>
        <vertAlign val="subscript"/>
        <sz val="12"/>
        <color theme="1"/>
        <rFont val="Euclid"/>
        <family val="1"/>
      </rPr>
      <t>k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</si>
  <si>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.x</t>
    </r>
    <r>
      <rPr>
        <b/>
        <vertAlign val="subscript"/>
        <sz val="12"/>
        <color theme="1"/>
        <rFont val="Euclid"/>
        <family val="1"/>
      </rPr>
      <t>k</t>
    </r>
    <r>
      <rPr>
        <b/>
        <vertAlign val="superscript"/>
        <sz val="12"/>
        <color theme="1"/>
        <rFont val="Euclid"/>
        <family val="1"/>
      </rPr>
      <t>2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</si>
  <si>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.x</t>
    </r>
    <r>
      <rPr>
        <b/>
        <vertAlign val="subscript"/>
        <sz val="12"/>
        <color theme="1"/>
        <rFont val="Euclid"/>
        <family val="1"/>
      </rPr>
      <t>k</t>
    </r>
    <r>
      <rPr>
        <b/>
        <vertAlign val="superscript"/>
        <sz val="12"/>
        <color theme="1"/>
        <rFont val="Euclid"/>
        <family val="1"/>
      </rPr>
      <t>3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</si>
  <si>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.x</t>
    </r>
    <r>
      <rPr>
        <b/>
        <vertAlign val="subscript"/>
        <sz val="12"/>
        <color theme="1"/>
        <rFont val="Euclid"/>
        <family val="1"/>
      </rPr>
      <t>k</t>
    </r>
    <r>
      <rPr>
        <b/>
        <vertAlign val="superscript"/>
        <sz val="12"/>
        <color theme="1"/>
        <rFont val="Euclid"/>
        <family val="1"/>
      </rPr>
      <t>4</t>
    </r>
    <r>
      <rPr>
        <sz val="11"/>
        <color theme="1"/>
        <rFont val="Calibri"/>
        <family val="2"/>
        <scheme val="minor"/>
      </rPr>
      <t/>
    </r>
  </si>
  <si>
    <t>m'2</t>
  </si>
  <si>
    <t>m'3</t>
  </si>
  <si>
    <t>m'4</t>
  </si>
  <si>
    <t>m2</t>
  </si>
  <si>
    <t>m3</t>
  </si>
  <si>
    <r>
      <t>x</t>
    </r>
    <r>
      <rPr>
        <vertAlign val="subscript"/>
        <sz val="12"/>
        <color theme="1"/>
        <rFont val="Euclid"/>
        <family val="1"/>
      </rPr>
      <t>min</t>
    </r>
  </si>
  <si>
    <r>
      <t>x</t>
    </r>
    <r>
      <rPr>
        <vertAlign val="subscript"/>
        <sz val="12"/>
        <color theme="1"/>
        <rFont val="Euclid"/>
        <family val="1"/>
      </rPr>
      <t>max</t>
    </r>
  </si>
  <si>
    <t>A</t>
  </si>
  <si>
    <t>K</t>
  </si>
  <si>
    <t>Ak</t>
  </si>
  <si>
    <r>
      <t>A</t>
    </r>
    <r>
      <rPr>
        <vertAlign val="subscript"/>
        <sz val="12"/>
        <color theme="1"/>
        <rFont val="Euclid"/>
        <family val="1"/>
      </rPr>
      <t>k</t>
    </r>
  </si>
  <si>
    <t>LI</t>
  </si>
  <si>
    <t>LS</t>
  </si>
  <si>
    <r>
      <t>M</t>
    </r>
    <r>
      <rPr>
        <b/>
        <vertAlign val="subscript"/>
        <sz val="12"/>
        <color theme="1"/>
        <rFont val="Euclid"/>
        <family val="1"/>
      </rPr>
      <t>k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</si>
  <si>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.M</t>
    </r>
    <r>
      <rPr>
        <b/>
        <vertAlign val="subscript"/>
        <sz val="12"/>
        <color theme="1"/>
        <rFont val="Euclid"/>
        <family val="1"/>
      </rPr>
      <t>k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</si>
  <si>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.(M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-x)</t>
    </r>
    <r>
      <rPr>
        <b/>
        <vertAlign val="superscript"/>
        <sz val="12"/>
        <color theme="1"/>
        <rFont val="Euclid"/>
        <family val="1"/>
      </rPr>
      <t>2</t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</si>
  <si>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.(M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-x)</t>
    </r>
    <r>
      <rPr>
        <b/>
        <vertAlign val="superscript"/>
        <sz val="12"/>
        <color theme="1"/>
        <rFont val="Euclid"/>
        <family val="1"/>
      </rPr>
      <t>3</t>
    </r>
    <r>
      <rPr>
        <sz val="11"/>
        <color theme="1"/>
        <rFont val="Calibri"/>
        <family val="2"/>
        <scheme val="minor"/>
      </rPr>
      <t/>
    </r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</si>
  <si>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.(M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-x)</t>
    </r>
    <r>
      <rPr>
        <b/>
        <vertAlign val="superscript"/>
        <sz val="12"/>
        <color theme="1"/>
        <rFont val="Euclid"/>
        <family val="1"/>
      </rPr>
      <t>4</t>
    </r>
    <r>
      <rPr>
        <sz val="11"/>
        <color theme="1"/>
        <rFont val="Calibri"/>
        <family val="2"/>
        <scheme val="minor"/>
      </rPr>
      <t/>
    </r>
  </si>
  <si>
    <t>d1</t>
  </si>
  <si>
    <t>d2</t>
  </si>
  <si>
    <r>
      <t>s</t>
    </r>
    <r>
      <rPr>
        <vertAlign val="superscript"/>
        <sz val="12"/>
        <color theme="1"/>
        <rFont val="Euclid"/>
        <family val="1"/>
      </rPr>
      <t>2</t>
    </r>
  </si>
  <si>
    <t>(Sheppard)</t>
  </si>
  <si>
    <t>Utilizando dados desagrupados:</t>
  </si>
  <si>
    <r>
      <t>m</t>
    </r>
    <r>
      <rPr>
        <b/>
        <vertAlign val="subscript"/>
        <sz val="12"/>
        <color theme="1"/>
        <rFont val="Symbol"/>
        <family val="1"/>
        <charset val="2"/>
      </rPr>
      <t>2</t>
    </r>
  </si>
  <si>
    <r>
      <t>m</t>
    </r>
    <r>
      <rPr>
        <b/>
        <vertAlign val="subscript"/>
        <sz val="12"/>
        <color theme="1"/>
        <rFont val="Symbol"/>
        <family val="1"/>
        <charset val="2"/>
      </rPr>
      <t>3</t>
    </r>
    <r>
      <rPr>
        <sz val="11"/>
        <color theme="1"/>
        <rFont val="Calibri"/>
        <family val="2"/>
        <scheme val="minor"/>
      </rPr>
      <t/>
    </r>
  </si>
  <si>
    <r>
      <t>m</t>
    </r>
    <r>
      <rPr>
        <b/>
        <vertAlign val="subscript"/>
        <sz val="12"/>
        <color theme="1"/>
        <rFont val="Symbol"/>
        <family val="1"/>
        <charset val="2"/>
      </rPr>
      <t>4</t>
    </r>
    <r>
      <rPr>
        <sz val="11"/>
        <color theme="1"/>
        <rFont val="Calibri"/>
        <family val="2"/>
        <scheme val="minor"/>
      </rPr>
      <t/>
    </r>
  </si>
  <si>
    <r>
      <t>s</t>
    </r>
    <r>
      <rPr>
        <b/>
        <sz val="12"/>
        <color theme="1"/>
        <rFont val="Euclid"/>
        <family val="1"/>
      </rPr>
      <t>2</t>
    </r>
  </si>
  <si>
    <t>s</t>
  </si>
  <si>
    <t>Min</t>
  </si>
  <si>
    <t>Max</t>
  </si>
  <si>
    <t>Fk</t>
  </si>
  <si>
    <t>fk</t>
  </si>
  <si>
    <t>fk(T)</t>
  </si>
  <si>
    <t>Mk</t>
  </si>
  <si>
    <t>Média</t>
  </si>
  <si>
    <t>Variância</t>
  </si>
  <si>
    <t>Mediana</t>
  </si>
  <si>
    <r>
      <t>(=s</t>
    </r>
    <r>
      <rPr>
        <b/>
        <vertAlign val="superscript"/>
        <sz val="12"/>
        <color theme="1"/>
        <rFont val="Euclid"/>
        <family val="1"/>
      </rPr>
      <t>2</t>
    </r>
    <r>
      <rPr>
        <b/>
        <sz val="12"/>
        <color theme="1"/>
        <rFont val="Euclid"/>
        <family val="1"/>
      </rPr>
      <t>)</t>
    </r>
  </si>
  <si>
    <t>Ficha de Trabalho 8 - Estatística Descritiva</t>
  </si>
  <si>
    <t>8.1 a)</t>
  </si>
  <si>
    <t>Dados desagrupados; População;</t>
  </si>
  <si>
    <t>8.1 b)</t>
  </si>
  <si>
    <t>Dados desagrupados; Amostra;</t>
  </si>
  <si>
    <t>Dados discretos; Amostra;</t>
  </si>
  <si>
    <t>Dados contínuos; Amostra;</t>
  </si>
  <si>
    <t>Dados contínuos; População;</t>
  </si>
  <si>
    <t>Media</t>
  </si>
  <si>
    <r>
      <t>F</t>
    </r>
    <r>
      <rPr>
        <b/>
        <vertAlign val="subscript"/>
        <sz val="12"/>
        <color theme="1"/>
        <rFont val="Euclid"/>
        <family val="1"/>
      </rPr>
      <t>k</t>
    </r>
    <r>
      <rPr>
        <b/>
        <sz val="12"/>
        <color theme="1"/>
        <rFont val="Euclid"/>
        <family val="1"/>
      </rPr>
      <t>.M</t>
    </r>
    <r>
      <rPr>
        <b/>
        <vertAlign val="subscript"/>
        <sz val="12"/>
        <color theme="1"/>
        <rFont val="Euclid"/>
        <family val="1"/>
      </rPr>
      <t>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</si>
</sst>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Euclid"/>
      <family val="1"/>
    </font>
    <font>
      <b/>
      <sz val="12"/>
      <name val="Euclid"/>
      <family val="1"/>
    </font>
    <font>
      <sz val="12"/>
      <color theme="1"/>
      <name val="Euclid"/>
      <family val="1"/>
    </font>
    <font>
      <b/>
      <sz val="12"/>
      <color theme="1"/>
      <name val="Symbol"/>
      <family val="1"/>
      <charset val="2"/>
    </font>
    <font>
      <b/>
      <sz val="12"/>
      <color theme="1"/>
      <name val="Euclid"/>
      <family val="1"/>
    </font>
    <font>
      <b/>
      <vertAlign val="subscript"/>
      <sz val="12"/>
      <color theme="1"/>
      <name val="Symbol"/>
      <family val="1"/>
      <charset val="2"/>
    </font>
    <font>
      <b/>
      <vertAlign val="subscript"/>
      <sz val="12"/>
      <color theme="1"/>
      <name val="Euclid"/>
      <family val="1"/>
    </font>
    <font>
      <b/>
      <vertAlign val="superscript"/>
      <sz val="12"/>
      <color theme="1"/>
      <name val="Euclid"/>
      <family val="1"/>
    </font>
    <font>
      <vertAlign val="subscript"/>
      <sz val="12"/>
      <color theme="1"/>
      <name val="Euclid"/>
      <family val="1"/>
    </font>
    <font>
      <vertAlign val="superscript"/>
      <sz val="12"/>
      <color theme="1"/>
      <name val="Euclid"/>
      <family val="1"/>
    </font>
    <font>
      <sz val="11"/>
      <color theme="1"/>
      <name val="Euclid"/>
      <family val="1"/>
    </font>
    <font>
      <sz val="11"/>
      <color theme="1"/>
      <name val="Symbol"/>
      <family val="1"/>
      <charset val="2"/>
    </font>
    <font>
      <b/>
      <sz val="11"/>
      <color theme="1"/>
      <name val="Euclid"/>
      <family val="1"/>
    </font>
    <font>
      <b/>
      <sz val="16"/>
      <color theme="1"/>
      <name val="Euclid"/>
      <family val="1"/>
    </font>
    <font>
      <b/>
      <sz val="14"/>
      <color theme="1"/>
      <name val="Euclid"/>
      <family val="1"/>
    </font>
    <font>
      <b/>
      <u/>
      <sz val="12"/>
      <color theme="1"/>
      <name val="Euclid"/>
      <family val="1"/>
    </font>
    <font>
      <sz val="12"/>
      <color theme="0"/>
      <name val="Euclid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5" fontId="4" fillId="0" borderId="9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6" fontId="4" fillId="0" borderId="9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11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2" fontId="4" fillId="2" borderId="9" xfId="0" applyNumberFormat="1" applyFont="1" applyFill="1" applyBorder="1" applyAlignment="1">
      <alignment horizontal="center"/>
    </xf>
    <xf numFmtId="2" fontId="4" fillId="3" borderId="9" xfId="0" applyNumberFormat="1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166" fontId="6" fillId="0" borderId="10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66" fontId="4" fillId="0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Frequências</a:t>
            </a:r>
            <a:r>
              <a:rPr lang="en-US" baseline="0"/>
              <a:t> relativas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val>
            <c:numRef>
              <c:f>R8.2!$D$4:$D$11</c:f>
              <c:numCache>
                <c:formatCode>0.0000</c:formatCode>
                <c:ptCount val="8"/>
                <c:pt idx="0">
                  <c:v>0.41428571428571431</c:v>
                </c:pt>
                <c:pt idx="1">
                  <c:v>0.18571428571428578</c:v>
                </c:pt>
                <c:pt idx="2">
                  <c:v>0.1714285714285714</c:v>
                </c:pt>
                <c:pt idx="3">
                  <c:v>0.1</c:v>
                </c:pt>
                <c:pt idx="4">
                  <c:v>7.1428571428571425E-2</c:v>
                </c:pt>
                <c:pt idx="5">
                  <c:v>1.4285714285714285E-2</c:v>
                </c:pt>
                <c:pt idx="6">
                  <c:v>2.8571428571428574E-2</c:v>
                </c:pt>
                <c:pt idx="7">
                  <c:v>1.4285714285714285E-2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R8.2!$D$3</c15:sqref>
                        </c15:formulaRef>
                      </c:ext>
                    </c:extLst>
                    <c:strCache>
                      <c:ptCount val="1"/>
                      <c:pt idx="0">
                        <c:v>fk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R8.2!$A$4:$B$11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650-4AF3-B1C2-F9683FCB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04113296"/>
        <c:axId val="-1604107856"/>
      </c:barChart>
      <c:catAx>
        <c:axId val="-160411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604107856"/>
        <c:crosses val="autoZero"/>
        <c:auto val="1"/>
        <c:lblAlgn val="ctr"/>
        <c:lblOffset val="100"/>
        <c:noMultiLvlLbl val="0"/>
      </c:catAx>
      <c:valAx>
        <c:axId val="-1604107856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-1604113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Freq.</a:t>
            </a:r>
            <a:r>
              <a:rPr lang="pt-PT" baseline="0"/>
              <a:t> relativas acum.</a:t>
            </a:r>
            <a:endParaRPr lang="pt-PT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invertIfNegative val="0"/>
          <c:val>
            <c:numRef>
              <c:f>R8.2!$F$4:$F$11</c:f>
              <c:numCache>
                <c:formatCode>General</c:formatCode>
                <c:ptCount val="8"/>
                <c:pt idx="0">
                  <c:v>0.41428571428571431</c:v>
                </c:pt>
                <c:pt idx="1">
                  <c:v>0.6000000000000002</c:v>
                </c:pt>
                <c:pt idx="2">
                  <c:v>0.77142857142857191</c:v>
                </c:pt>
                <c:pt idx="3">
                  <c:v>0.87142857142857177</c:v>
                </c:pt>
                <c:pt idx="4">
                  <c:v>0.94285714285714284</c:v>
                </c:pt>
                <c:pt idx="5">
                  <c:v>0.9571428571428573</c:v>
                </c:pt>
                <c:pt idx="6">
                  <c:v>0.98571428571428565</c:v>
                </c:pt>
                <c:pt idx="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R8.2!$F$3</c15:sqref>
                        </c15:formulaRef>
                      </c:ext>
                    </c:extLst>
                    <c:strCache>
                      <c:ptCount val="1"/>
                      <c:pt idx="0">
                        <c:v>f'k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R8.2!$A$4:$B$11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8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BE5-49B7-A756-2484C6202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04102960"/>
        <c:axId val="-1647658560"/>
      </c:barChart>
      <c:catAx>
        <c:axId val="-160410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647658560"/>
        <c:crosses val="autoZero"/>
        <c:auto val="1"/>
        <c:lblAlgn val="ctr"/>
        <c:lblOffset val="100"/>
        <c:noMultiLvlLbl val="0"/>
      </c:catAx>
      <c:valAx>
        <c:axId val="-1647658560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604102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Histograma de frequências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spPr>
            <a:ln w="28575">
              <a:solidFill>
                <a:schemeClr val="accent1"/>
              </a:solidFill>
            </a:ln>
          </c:spPr>
          <c:invertIfNegative val="0"/>
          <c:val>
            <c:numRef>
              <c:f>R8.3!$F$9:$F$18</c:f>
              <c:numCache>
                <c:formatCode>0.00</c:formatCode>
                <c:ptCount val="10"/>
                <c:pt idx="0">
                  <c:v>3.0000000000000002E-2</c:v>
                </c:pt>
                <c:pt idx="1">
                  <c:v>4.0000000000000008E-2</c:v>
                </c:pt>
                <c:pt idx="2">
                  <c:v>6.0000000000000005E-2</c:v>
                </c:pt>
                <c:pt idx="3">
                  <c:v>0.12000000000000001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0.25</c:v>
                </c:pt>
                <c:pt idx="7">
                  <c:v>0.16</c:v>
                </c:pt>
                <c:pt idx="8">
                  <c:v>0.05</c:v>
                </c:pt>
                <c:pt idx="9">
                  <c:v>1.0000000000000002E-2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R8.3!$F$8</c15:sqref>
                        </c15:formulaRef>
                      </c:ext>
                    </c:extLst>
                    <c:strCache>
                      <c:ptCount val="1"/>
                      <c:pt idx="0">
                        <c:v>fk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R8.3!$D$8:$D$17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055-43E3-81DD-C69AD7350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647654752"/>
        <c:axId val="-1647660736"/>
      </c:barChart>
      <c:catAx>
        <c:axId val="-1647654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x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-1647660736"/>
        <c:crosses val="autoZero"/>
        <c:auto val="1"/>
        <c:lblAlgn val="ctr"/>
        <c:lblOffset val="100"/>
        <c:noMultiLvlLbl val="0"/>
      </c:catAx>
      <c:valAx>
        <c:axId val="-1647660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fk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-1647654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Histograma de frequências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5"/>
          <c:order val="0"/>
          <c:spPr>
            <a:ln w="28575">
              <a:solidFill>
                <a:schemeClr val="accent1"/>
              </a:solidFill>
            </a:ln>
          </c:spPr>
          <c:invertIfNegative val="0"/>
          <c:val>
            <c:numRef>
              <c:f>R8.4!$F$9:$F$18</c:f>
              <c:numCache>
                <c:formatCode>0.00</c:formatCode>
                <c:ptCount val="8"/>
                <c:pt idx="0">
                  <c:v>0.05</c:v>
                </c:pt>
                <c:pt idx="1">
                  <c:v>0.16666666666666666</c:v>
                </c:pt>
                <c:pt idx="2">
                  <c:v>0.13333333333333336</c:v>
                </c:pt>
                <c:pt idx="3">
                  <c:v>0.2166666666666667</c:v>
                </c:pt>
                <c:pt idx="4">
                  <c:v>0.16666666666666666</c:v>
                </c:pt>
                <c:pt idx="5">
                  <c:v>0.1</c:v>
                </c:pt>
                <c:pt idx="6">
                  <c:v>8.3333333333333343E-2</c:v>
                </c:pt>
                <c:pt idx="7">
                  <c:v>8.3333333333333343E-2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R8.4!$F$8</c15:sqref>
                        </c15:formulaRef>
                      </c:ext>
                    </c:extLst>
                    <c:strCache>
                      <c:ptCount val="1"/>
                      <c:pt idx="0">
                        <c:v>fk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R8.4!$D$8:$D$15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0D0-44AB-AECE-7FB7A50EA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796548704"/>
        <c:axId val="-1601161312"/>
      </c:barChart>
      <c:catAx>
        <c:axId val="-1796548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x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-1601161312"/>
        <c:crosses val="autoZero"/>
        <c:auto val="1"/>
        <c:lblAlgn val="ctr"/>
        <c:lblOffset val="100"/>
        <c:noMultiLvlLbl val="0"/>
      </c:catAx>
      <c:valAx>
        <c:axId val="-1601161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fk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-17965487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Histograma de freq. acum.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spPr>
            <a:ln>
              <a:solidFill>
                <a:srgbClr val="4F81BD"/>
              </a:solidFill>
            </a:ln>
          </c:spPr>
          <c:invertIfNegative val="0"/>
          <c:val>
            <c:numRef>
              <c:f>R8.4!$H$9:$H$16</c:f>
              <c:numCache>
                <c:formatCode>General</c:formatCode>
                <c:ptCount val="8"/>
                <c:pt idx="0">
                  <c:v>0.05</c:v>
                </c:pt>
                <c:pt idx="1">
                  <c:v>0.2166666666666667</c:v>
                </c:pt>
                <c:pt idx="2">
                  <c:v>0.35000000000000003</c:v>
                </c:pt>
                <c:pt idx="3">
                  <c:v>0.56666666666666654</c:v>
                </c:pt>
                <c:pt idx="4">
                  <c:v>0.73333333333333339</c:v>
                </c:pt>
                <c:pt idx="5">
                  <c:v>0.83333333333333337</c:v>
                </c:pt>
                <c:pt idx="6">
                  <c:v>0.91666666666666652</c:v>
                </c:pt>
                <c:pt idx="7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R8.4!$H$8</c15:sqref>
                        </c15:formulaRef>
                      </c:ext>
                    </c:extLst>
                    <c:strCache>
                      <c:ptCount val="1"/>
                      <c:pt idx="0">
                        <c:v>f'k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R8.4!$D$8:$D$15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FB-4CB1-AF50-2A21197C3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601162944"/>
        <c:axId val="-1601158048"/>
      </c:barChart>
      <c:catAx>
        <c:axId val="-1601162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x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-1601158048"/>
        <c:crosses val="autoZero"/>
        <c:auto val="1"/>
        <c:lblAlgn val="ctr"/>
        <c:lblOffset val="100"/>
        <c:noMultiLvlLbl val="0"/>
      </c:catAx>
      <c:valAx>
        <c:axId val="-1601158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f'k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-1601162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Histograma de Frequências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</c:spPr>
          <c:invertIfNegative val="0"/>
          <c:val>
            <c:numRef>
              <c:f>R8.6!$F$34:$F$53</c:f>
              <c:numCache>
                <c:formatCode>General</c:formatCode>
                <c:ptCount val="20"/>
                <c:pt idx="0">
                  <c:v>2.0000000000000005E-3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1.0000000000000002E-2</c:v>
                </c:pt>
                <c:pt idx="5">
                  <c:v>2.0000000000000004E-2</c:v>
                </c:pt>
                <c:pt idx="6">
                  <c:v>3.5999999999999997E-2</c:v>
                </c:pt>
                <c:pt idx="7">
                  <c:v>8.0000000000000016E-2</c:v>
                </c:pt>
                <c:pt idx="8">
                  <c:v>0.10800000000000001</c:v>
                </c:pt>
                <c:pt idx="9">
                  <c:v>0.16600000000000001</c:v>
                </c:pt>
                <c:pt idx="10">
                  <c:v>0.15200000000000002</c:v>
                </c:pt>
                <c:pt idx="11">
                  <c:v>0.13600000000000001</c:v>
                </c:pt>
                <c:pt idx="12">
                  <c:v>0.11600000000000002</c:v>
                </c:pt>
                <c:pt idx="13">
                  <c:v>7.1999999999999995E-2</c:v>
                </c:pt>
                <c:pt idx="14">
                  <c:v>4.8000000000000001E-2</c:v>
                </c:pt>
                <c:pt idx="15">
                  <c:v>3.2000000000000008E-2</c:v>
                </c:pt>
                <c:pt idx="16">
                  <c:v>1.4E-2</c:v>
                </c:pt>
                <c:pt idx="17">
                  <c:v>6.000000000000001E-3</c:v>
                </c:pt>
                <c:pt idx="18">
                  <c:v>0</c:v>
                </c:pt>
                <c:pt idx="19">
                  <c:v>2.0000000000000005E-3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R8.6!$F$33</c15:sqref>
                        </c15:formulaRef>
                      </c:ext>
                    </c:extLst>
                    <c:strCache>
                      <c:ptCount val="1"/>
                      <c:pt idx="0">
                        <c:v>fk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R8.6!$D$34:$D$53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E67-4E96-BF32-8525D083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1601159136"/>
        <c:axId val="-1601162400"/>
      </c:barChart>
      <c:scatterChart>
        <c:scatterStyle val="smoothMarker"/>
        <c:varyColors val="0"/>
        <c:ser>
          <c:idx val="2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R8.6!$A$34:$A$53</c:f>
            </c:numRef>
          </c:xVal>
          <c:yVal>
            <c:numRef>
              <c:f>R8.6!$G$34:$G$53</c:f>
              <c:numCache>
                <c:formatCode>General</c:formatCode>
                <c:ptCount val="20"/>
                <c:pt idx="0">
                  <c:v>8.3229670292284173E-5</c:v>
                </c:pt>
                <c:pt idx="1">
                  <c:v>3.3785263210694977E-4</c:v>
                </c:pt>
                <c:pt idx="2">
                  <c:v>1.1867744802281921E-3</c:v>
                </c:pt>
                <c:pt idx="3">
                  <c:v>3.6075583678967247E-3</c:v>
                </c:pt>
                <c:pt idx="4">
                  <c:v>9.4901741850224042E-3</c:v>
                </c:pt>
                <c:pt idx="5">
                  <c:v>2.1605323930587342E-2</c:v>
                </c:pt>
                <c:pt idx="6">
                  <c:v>4.2567873695175111E-2</c:v>
                </c:pt>
                <c:pt idx="7">
                  <c:v>7.2584699932691815E-2</c:v>
                </c:pt>
                <c:pt idx="8">
                  <c:v>0.10711642115166321</c:v>
                </c:pt>
                <c:pt idx="9">
                  <c:v>0.13681042789240944</c:v>
                </c:pt>
                <c:pt idx="10">
                  <c:v>0.15122976431172511</c:v>
                </c:pt>
                <c:pt idx="11">
                  <c:v>0.144680968223693</c:v>
                </c:pt>
                <c:pt idx="12">
                  <c:v>0.11979566289441479</c:v>
                </c:pt>
                <c:pt idx="13">
                  <c:v>8.5846820924066855E-2</c:v>
                </c:pt>
                <c:pt idx="14">
                  <c:v>5.3242329033726617E-2</c:v>
                </c:pt>
                <c:pt idx="15">
                  <c:v>2.8578161460651841E-2</c:v>
                </c:pt>
                <c:pt idx="16">
                  <c:v>1.3275446330839213E-2</c:v>
                </c:pt>
                <c:pt idx="17">
                  <c:v>5.3369523693557186E-3</c:v>
                </c:pt>
                <c:pt idx="18">
                  <c:v>1.8567663099267055E-3</c:v>
                </c:pt>
                <c:pt idx="19">
                  <c:v>5.5902340128732863E-4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R8.6!$G$33</c15:sqref>
                        </c15:formulaRef>
                      </c:ext>
                    </c:extLst>
                    <c:strCache>
                      <c:ptCount val="1"/>
                      <c:pt idx="0">
                        <c:v>fk(T)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E67-4E96-BF32-8525D0835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01159136"/>
        <c:axId val="-1601162400"/>
      </c:scatterChart>
      <c:catAx>
        <c:axId val="-160115913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-1601162400"/>
        <c:crosses val="autoZero"/>
        <c:auto val="1"/>
        <c:lblAlgn val="ctr"/>
        <c:lblOffset val="100"/>
        <c:noMultiLvlLbl val="0"/>
      </c:catAx>
      <c:valAx>
        <c:axId val="-1601162400"/>
        <c:scaling>
          <c:orientation val="minMax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crossAx val="-1601159136"/>
        <c:crosses val="autoZero"/>
        <c:crossBetween val="between"/>
        <c:majorUnit val="2.0000000000000007E-2"/>
      </c:valAx>
    </c:plotArea>
    <c:plotVisOnly val="1"/>
    <c:dispBlanksAs val="gap"/>
    <c:showDLblsOverMax val="0"/>
  </c:chart>
  <c:txPr>
    <a:bodyPr/>
    <a:lstStyle/>
    <a:p>
      <a:pPr>
        <a:defRPr>
          <a:latin typeface="Euclid" pitchFamily="18" charset="0"/>
        </a:defRPr>
      </a:pPr>
      <a:endParaRPr lang="pt-PT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161926</xdr:rowOff>
    </xdr:from>
    <xdr:to>
      <xdr:col>5</xdr:col>
      <xdr:colOff>590550</xdr:colOff>
      <xdr:row>21</xdr:row>
      <xdr:rowOff>200025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12</xdr:row>
      <xdr:rowOff>171450</xdr:rowOff>
    </xdr:from>
    <xdr:to>
      <xdr:col>11</xdr:col>
      <xdr:colOff>1</xdr:colOff>
      <xdr:row>21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257174</xdr:colOff>
      <xdr:row>28</xdr:row>
      <xdr:rowOff>19050</xdr:rowOff>
    </xdr:from>
    <xdr:to>
      <xdr:col>11</xdr:col>
      <xdr:colOff>619125</xdr:colOff>
      <xdr:row>38</xdr:row>
      <xdr:rowOff>247649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190501</xdr:rowOff>
    </xdr:from>
    <xdr:to>
      <xdr:col>6</xdr:col>
      <xdr:colOff>419100</xdr:colOff>
      <xdr:row>28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19</xdr:row>
      <xdr:rowOff>190501</xdr:rowOff>
    </xdr:from>
    <xdr:to>
      <xdr:col>12</xdr:col>
      <xdr:colOff>19050</xdr:colOff>
      <xdr:row>28</xdr:row>
      <xdr:rowOff>180976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30</xdr:row>
      <xdr:rowOff>152400</xdr:rowOff>
    </xdr:from>
    <xdr:to>
      <xdr:col>17</xdr:col>
      <xdr:colOff>295275</xdr:colOff>
      <xdr:row>42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2" sqref="B2:G2"/>
    </sheetView>
  </sheetViews>
  <sheetFormatPr defaultColWidth="9.21875" defaultRowHeight="15.6"/>
  <cols>
    <col min="1" max="7" width="11.21875" style="1" customWidth="1"/>
    <col min="8" max="16384" width="9.21875" style="1"/>
  </cols>
  <sheetData>
    <row r="1" spans="1:7">
      <c r="A1" s="1" t="s">
        <v>0</v>
      </c>
      <c r="B1" s="1">
        <v>64</v>
      </c>
      <c r="C1" s="1">
        <v>81</v>
      </c>
      <c r="D1" s="1">
        <v>62</v>
      </c>
      <c r="E1" s="1">
        <v>77</v>
      </c>
      <c r="F1" s="1">
        <v>76</v>
      </c>
    </row>
    <row r="2" spans="1:7">
      <c r="A2" s="1" t="s">
        <v>1</v>
      </c>
      <c r="B2" s="1">
        <v>88</v>
      </c>
      <c r="C2" s="1">
        <v>75</v>
      </c>
      <c r="D2" s="1">
        <v>62</v>
      </c>
      <c r="E2" s="1">
        <v>86</v>
      </c>
      <c r="F2" s="1">
        <v>65</v>
      </c>
      <c r="G2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ColWidth="9.21875" defaultRowHeight="15.6"/>
  <cols>
    <col min="1" max="10" width="6.77734375" style="1" customWidth="1"/>
    <col min="11" max="16384" width="9.21875" style="1"/>
  </cols>
  <sheetData>
    <row r="1" spans="1:10">
      <c r="A1" s="1">
        <v>0</v>
      </c>
      <c r="B1" s="1">
        <v>0</v>
      </c>
      <c r="C1" s="1">
        <v>2</v>
      </c>
      <c r="D1" s="1">
        <v>0</v>
      </c>
      <c r="E1" s="1">
        <v>0</v>
      </c>
      <c r="F1" s="1">
        <v>0</v>
      </c>
      <c r="G1" s="1">
        <v>3</v>
      </c>
      <c r="H1" s="1">
        <v>3</v>
      </c>
      <c r="I1" s="1">
        <v>0</v>
      </c>
      <c r="J1" s="1">
        <v>0</v>
      </c>
    </row>
    <row r="2" spans="1:10">
      <c r="A2" s="1">
        <v>1</v>
      </c>
      <c r="B2" s="1">
        <v>8</v>
      </c>
      <c r="C2" s="1">
        <v>5</v>
      </c>
      <c r="D2" s="1">
        <v>0</v>
      </c>
      <c r="E2" s="1">
        <v>0</v>
      </c>
      <c r="F2" s="1">
        <v>4</v>
      </c>
      <c r="G2" s="1">
        <v>3</v>
      </c>
      <c r="H2" s="1">
        <v>0</v>
      </c>
      <c r="I2" s="1">
        <v>6</v>
      </c>
      <c r="J2" s="1">
        <v>2</v>
      </c>
    </row>
    <row r="3" spans="1:10">
      <c r="A3" s="1">
        <v>2</v>
      </c>
      <c r="B3" s="1">
        <v>3</v>
      </c>
      <c r="C3" s="1">
        <v>1</v>
      </c>
      <c r="D3" s="1">
        <v>1</v>
      </c>
      <c r="E3" s="1">
        <v>0</v>
      </c>
      <c r="F3" s="1">
        <v>1</v>
      </c>
      <c r="G3" s="1">
        <v>0</v>
      </c>
      <c r="H3" s="1">
        <v>1</v>
      </c>
      <c r="I3" s="1">
        <v>1</v>
      </c>
      <c r="J3" s="1">
        <v>0</v>
      </c>
    </row>
    <row r="4" spans="1:10">
      <c r="A4" s="1">
        <v>0</v>
      </c>
      <c r="B4" s="1">
        <v>2</v>
      </c>
      <c r="C4" s="1">
        <v>0</v>
      </c>
      <c r="D4" s="1">
        <v>0</v>
      </c>
      <c r="E4" s="1">
        <v>0</v>
      </c>
      <c r="F4" s="1">
        <v>1</v>
      </c>
      <c r="G4" s="1">
        <v>2</v>
      </c>
      <c r="H4" s="1">
        <v>1</v>
      </c>
      <c r="I4" s="1">
        <v>2</v>
      </c>
      <c r="J4" s="1">
        <v>0</v>
      </c>
    </row>
    <row r="5" spans="1:10">
      <c r="A5" s="1">
        <v>0</v>
      </c>
      <c r="B5" s="1">
        <v>1</v>
      </c>
      <c r="C5" s="1">
        <v>6</v>
      </c>
      <c r="D5" s="1">
        <v>4</v>
      </c>
      <c r="E5" s="1">
        <v>3</v>
      </c>
      <c r="F5" s="1">
        <v>3</v>
      </c>
      <c r="G5" s="1">
        <v>1</v>
      </c>
      <c r="H5" s="1">
        <v>2</v>
      </c>
      <c r="I5" s="1">
        <v>4</v>
      </c>
      <c r="J5" s="1">
        <v>0</v>
      </c>
    </row>
    <row r="6" spans="1:10">
      <c r="A6" s="1">
        <v>0</v>
      </c>
      <c r="B6" s="1">
        <v>3</v>
      </c>
      <c r="C6" s="1">
        <v>1</v>
      </c>
      <c r="D6" s="1">
        <v>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</row>
    <row r="7" spans="1:10">
      <c r="A7" s="1">
        <v>1</v>
      </c>
      <c r="B7" s="1">
        <v>0</v>
      </c>
      <c r="C7" s="1">
        <v>2</v>
      </c>
      <c r="D7" s="1">
        <v>0</v>
      </c>
      <c r="E7" s="1">
        <v>2</v>
      </c>
      <c r="F7" s="1">
        <v>4</v>
      </c>
      <c r="G7" s="1">
        <v>4</v>
      </c>
      <c r="H7" s="1">
        <v>0</v>
      </c>
      <c r="I7" s="1">
        <v>2</v>
      </c>
      <c r="J7" s="1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M6" sqref="M6"/>
    </sheetView>
  </sheetViews>
  <sheetFormatPr defaultColWidth="9.21875" defaultRowHeight="15.6"/>
  <cols>
    <col min="1" max="10" width="7.21875" style="3" customWidth="1"/>
    <col min="11" max="16384" width="9.21875" style="3"/>
  </cols>
  <sheetData>
    <row r="1" spans="1:10">
      <c r="A1" s="2">
        <v>752</v>
      </c>
      <c r="B1" s="2">
        <v>755</v>
      </c>
      <c r="C1" s="2">
        <v>725</v>
      </c>
      <c r="D1" s="2">
        <v>753</v>
      </c>
      <c r="E1" s="2">
        <v>764</v>
      </c>
      <c r="F1" s="2">
        <v>738</v>
      </c>
      <c r="G1" s="2">
        <v>757</v>
      </c>
      <c r="H1" s="2">
        <v>744</v>
      </c>
      <c r="I1" s="2">
        <v>747</v>
      </c>
      <c r="J1" s="2">
        <v>754</v>
      </c>
    </row>
    <row r="2" spans="1:10">
      <c r="A2" s="2">
        <v>741</v>
      </c>
      <c r="B2" s="2">
        <v>750</v>
      </c>
      <c r="C2" s="2">
        <v>757</v>
      </c>
      <c r="D2" s="2">
        <v>745</v>
      </c>
      <c r="E2" s="2">
        <v>754</v>
      </c>
      <c r="F2" s="2">
        <v>750</v>
      </c>
      <c r="G2" s="2">
        <v>729</v>
      </c>
      <c r="H2" s="2">
        <v>742</v>
      </c>
      <c r="I2" s="2">
        <v>754</v>
      </c>
      <c r="J2" s="2">
        <v>747</v>
      </c>
    </row>
    <row r="3" spans="1:10">
      <c r="A3" s="2">
        <v>755</v>
      </c>
      <c r="B3" s="2">
        <v>736</v>
      </c>
      <c r="C3" s="2">
        <v>744</v>
      </c>
      <c r="D3" s="2">
        <v>753</v>
      </c>
      <c r="E3" s="2">
        <v>721</v>
      </c>
      <c r="F3" s="2">
        <v>738</v>
      </c>
      <c r="G3" s="2">
        <v>732</v>
      </c>
      <c r="H3" s="2">
        <v>752</v>
      </c>
      <c r="I3" s="2">
        <v>745</v>
      </c>
      <c r="J3" s="2">
        <v>758</v>
      </c>
    </row>
    <row r="4" spans="1:10">
      <c r="A4" s="2">
        <v>740</v>
      </c>
      <c r="B4" s="2">
        <v>751</v>
      </c>
      <c r="C4" s="2">
        <v>746</v>
      </c>
      <c r="D4" s="2">
        <v>736</v>
      </c>
      <c r="E4" s="2">
        <v>741</v>
      </c>
      <c r="F4" s="2">
        <v>748</v>
      </c>
      <c r="G4" s="2">
        <v>735</v>
      </c>
      <c r="H4" s="2">
        <v>747</v>
      </c>
      <c r="I4" s="2">
        <v>727</v>
      </c>
      <c r="J4" s="2">
        <v>750</v>
      </c>
    </row>
    <row r="5" spans="1:10">
      <c r="A5" s="2">
        <v>743</v>
      </c>
      <c r="B5" s="2">
        <v>750</v>
      </c>
      <c r="C5" s="2">
        <v>732</v>
      </c>
      <c r="D5" s="2">
        <v>749</v>
      </c>
      <c r="E5" s="2">
        <v>745</v>
      </c>
      <c r="F5" s="2">
        <v>736</v>
      </c>
      <c r="G5" s="2">
        <v>733</v>
      </c>
      <c r="H5" s="2">
        <v>741</v>
      </c>
      <c r="I5" s="2">
        <v>749</v>
      </c>
      <c r="J5" s="2">
        <v>743</v>
      </c>
    </row>
    <row r="6" spans="1:10">
      <c r="A6" s="2">
        <v>748</v>
      </c>
      <c r="B6" s="2">
        <v>749</v>
      </c>
      <c r="C6" s="2">
        <v>737</v>
      </c>
      <c r="D6" s="2">
        <v>737</v>
      </c>
      <c r="E6" s="2">
        <v>749</v>
      </c>
      <c r="F6" s="2">
        <v>740</v>
      </c>
      <c r="G6" s="2">
        <v>724</v>
      </c>
      <c r="H6" s="2">
        <v>753</v>
      </c>
      <c r="I6" s="2">
        <v>738</v>
      </c>
      <c r="J6" s="2">
        <v>752</v>
      </c>
    </row>
    <row r="7" spans="1:10">
      <c r="A7" s="2">
        <v>747</v>
      </c>
      <c r="B7" s="2">
        <v>735</v>
      </c>
      <c r="C7" s="2">
        <v>743</v>
      </c>
      <c r="D7" s="2">
        <v>751</v>
      </c>
      <c r="E7" s="2">
        <v>726</v>
      </c>
      <c r="F7" s="2">
        <v>749</v>
      </c>
      <c r="G7" s="2">
        <v>741</v>
      </c>
      <c r="H7" s="2">
        <v>751</v>
      </c>
      <c r="I7" s="2">
        <v>745</v>
      </c>
      <c r="J7" s="2">
        <v>754</v>
      </c>
    </row>
    <row r="8" spans="1:10">
      <c r="A8" s="2">
        <v>753</v>
      </c>
      <c r="B8" s="2">
        <v>745</v>
      </c>
      <c r="C8" s="2">
        <v>749</v>
      </c>
      <c r="D8" s="2">
        <v>731</v>
      </c>
      <c r="E8" s="2">
        <v>746</v>
      </c>
      <c r="F8" s="2">
        <v>737</v>
      </c>
      <c r="G8" s="2">
        <v>741</v>
      </c>
      <c r="H8" s="2">
        <v>728</v>
      </c>
      <c r="I8" s="2">
        <v>750</v>
      </c>
      <c r="J8" s="2">
        <v>747</v>
      </c>
    </row>
    <row r="9" spans="1:10">
      <c r="A9" s="2">
        <v>747</v>
      </c>
      <c r="B9" s="2">
        <v>740</v>
      </c>
      <c r="C9" s="2">
        <v>741</v>
      </c>
      <c r="D9" s="2">
        <v>730</v>
      </c>
      <c r="E9" s="2">
        <v>739</v>
      </c>
      <c r="F9" s="2">
        <v>754</v>
      </c>
      <c r="G9" s="2">
        <v>739</v>
      </c>
      <c r="H9" s="2">
        <v>744</v>
      </c>
      <c r="I9" s="2">
        <v>755</v>
      </c>
      <c r="J9" s="2">
        <v>748</v>
      </c>
    </row>
    <row r="10" spans="1:10">
      <c r="A10" s="2">
        <v>759</v>
      </c>
      <c r="B10" s="2">
        <v>750</v>
      </c>
      <c r="C10" s="2">
        <v>756</v>
      </c>
      <c r="D10" s="2">
        <v>740</v>
      </c>
      <c r="E10" s="2">
        <v>745</v>
      </c>
      <c r="F10" s="2">
        <v>742</v>
      </c>
      <c r="G10" s="2">
        <v>730</v>
      </c>
      <c r="H10" s="2">
        <v>736</v>
      </c>
      <c r="I10" s="2">
        <v>750</v>
      </c>
      <c r="J10" s="2">
        <v>754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4.4"/>
  <cols>
    <col min="1" max="12" width="5.77734375" customWidth="1"/>
  </cols>
  <sheetData>
    <row r="1" spans="1:12" ht="15.6">
      <c r="A1" s="2">
        <v>93</v>
      </c>
      <c r="B1" s="2">
        <v>76</v>
      </c>
      <c r="C1" s="2">
        <v>68</v>
      </c>
      <c r="D1" s="2">
        <v>84</v>
      </c>
      <c r="E1" s="2">
        <v>75</v>
      </c>
      <c r="F1" s="2">
        <v>82</v>
      </c>
      <c r="G1" s="2">
        <v>68</v>
      </c>
      <c r="H1" s="2">
        <v>90</v>
      </c>
      <c r="I1" s="2">
        <v>62</v>
      </c>
      <c r="J1" s="2">
        <v>88</v>
      </c>
      <c r="K1" s="2">
        <v>75</v>
      </c>
      <c r="L1" s="2">
        <v>85</v>
      </c>
    </row>
    <row r="2" spans="1:12" ht="15.6">
      <c r="A2" s="2">
        <v>73</v>
      </c>
      <c r="B2" s="2">
        <v>79</v>
      </c>
      <c r="C2" s="2">
        <v>88</v>
      </c>
      <c r="D2" s="2">
        <v>73</v>
      </c>
      <c r="E2" s="2">
        <v>60</v>
      </c>
      <c r="F2" s="2">
        <v>93</v>
      </c>
      <c r="G2" s="2">
        <v>71</v>
      </c>
      <c r="H2" s="2">
        <v>59</v>
      </c>
      <c r="I2" s="2">
        <v>72</v>
      </c>
      <c r="J2" s="2">
        <v>63</v>
      </c>
      <c r="K2" s="2">
        <v>61</v>
      </c>
      <c r="L2" s="2">
        <v>65</v>
      </c>
    </row>
    <row r="3" spans="1:12" ht="15.6">
      <c r="A3" s="2">
        <v>75</v>
      </c>
      <c r="B3" s="2">
        <v>87</v>
      </c>
      <c r="C3" s="2">
        <v>74</v>
      </c>
      <c r="D3" s="2">
        <v>62</v>
      </c>
      <c r="E3" s="2">
        <v>95</v>
      </c>
      <c r="F3" s="2">
        <v>78</v>
      </c>
      <c r="G3" s="2">
        <v>60</v>
      </c>
      <c r="H3" s="2">
        <v>68</v>
      </c>
      <c r="I3" s="2">
        <v>66</v>
      </c>
      <c r="J3" s="2">
        <v>78</v>
      </c>
      <c r="K3" s="2">
        <v>82</v>
      </c>
      <c r="L3" s="2">
        <v>75</v>
      </c>
    </row>
    <row r="4" spans="1:12" ht="15.6">
      <c r="A4" s="2">
        <v>94</v>
      </c>
      <c r="B4" s="2">
        <v>77</v>
      </c>
      <c r="C4" s="2">
        <v>69</v>
      </c>
      <c r="D4" s="2">
        <v>74</v>
      </c>
      <c r="E4" s="2">
        <v>71</v>
      </c>
      <c r="F4" s="2">
        <v>74</v>
      </c>
      <c r="G4" s="2">
        <v>53</v>
      </c>
      <c r="H4" s="2">
        <v>65</v>
      </c>
      <c r="I4" s="2">
        <v>80</v>
      </c>
      <c r="J4" s="2">
        <v>73</v>
      </c>
      <c r="K4" s="2">
        <v>57</v>
      </c>
      <c r="L4" s="2">
        <v>89</v>
      </c>
    </row>
    <row r="5" spans="1:12" ht="15.6">
      <c r="A5" s="2">
        <v>74</v>
      </c>
      <c r="B5" s="2">
        <v>65</v>
      </c>
      <c r="C5" s="2">
        <v>63</v>
      </c>
      <c r="D5" s="2">
        <v>72</v>
      </c>
      <c r="E5" s="2">
        <v>81</v>
      </c>
      <c r="F5" s="2">
        <v>83</v>
      </c>
      <c r="G5" s="2">
        <v>57</v>
      </c>
      <c r="H5" s="2">
        <v>64</v>
      </c>
      <c r="I5" s="2">
        <v>59</v>
      </c>
      <c r="J5" s="2">
        <v>76</v>
      </c>
      <c r="K5" s="2">
        <v>72</v>
      </c>
      <c r="L5" s="2">
        <v>60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activeCell="B2" sqref="B2:L2"/>
    </sheetView>
  </sheetViews>
  <sheetFormatPr defaultRowHeight="14.4"/>
  <cols>
    <col min="1" max="1" width="22.77734375" customWidth="1"/>
    <col min="2" max="12" width="4.77734375" customWidth="1"/>
  </cols>
  <sheetData>
    <row r="1" spans="1:12" ht="15.6">
      <c r="A1" s="4" t="s">
        <v>2</v>
      </c>
      <c r="B1" s="5">
        <v>17</v>
      </c>
      <c r="C1" s="5">
        <v>18</v>
      </c>
      <c r="D1" s="5">
        <v>19</v>
      </c>
      <c r="E1" s="5">
        <v>20</v>
      </c>
      <c r="F1" s="5">
        <v>21</v>
      </c>
      <c r="G1" s="5">
        <v>22</v>
      </c>
      <c r="H1" s="5">
        <v>23</v>
      </c>
      <c r="I1" s="5">
        <v>24</v>
      </c>
      <c r="J1" s="5">
        <v>25</v>
      </c>
      <c r="K1" s="5">
        <v>26</v>
      </c>
      <c r="L1" s="5">
        <v>27</v>
      </c>
    </row>
    <row r="2" spans="1:12" ht="15.6">
      <c r="A2" s="4" t="s">
        <v>3</v>
      </c>
      <c r="B2" s="5">
        <v>0</v>
      </c>
      <c r="C2" s="5">
        <v>4</v>
      </c>
      <c r="D2" s="5">
        <v>4</v>
      </c>
      <c r="E2" s="5">
        <v>6</v>
      </c>
      <c r="F2" s="5">
        <v>12</v>
      </c>
      <c r="G2" s="5">
        <v>10</v>
      </c>
      <c r="H2" s="5">
        <v>8</v>
      </c>
      <c r="I2" s="5">
        <v>0</v>
      </c>
      <c r="J2" s="5">
        <v>0</v>
      </c>
      <c r="K2" s="5">
        <v>0</v>
      </c>
      <c r="L2" s="5">
        <v>0</v>
      </c>
    </row>
    <row r="3" spans="1:12" ht="15.6">
      <c r="A3" s="4" t="s">
        <v>4</v>
      </c>
      <c r="B3" s="5">
        <v>4</v>
      </c>
      <c r="C3" s="5">
        <v>6</v>
      </c>
      <c r="D3" s="5">
        <v>6</v>
      </c>
      <c r="E3" s="5">
        <v>8</v>
      </c>
      <c r="F3" s="5">
        <v>10</v>
      </c>
      <c r="G3" s="5">
        <v>3</v>
      </c>
      <c r="H3" s="5">
        <v>3</v>
      </c>
      <c r="I3" s="5">
        <v>2</v>
      </c>
      <c r="J3" s="5">
        <v>1</v>
      </c>
      <c r="K3" s="5">
        <v>0</v>
      </c>
      <c r="L3" s="5">
        <v>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4"/>
  <sheetViews>
    <sheetView topLeftCell="A10" workbookViewId="0">
      <selection activeCell="B12" sqref="B12"/>
    </sheetView>
  </sheetViews>
  <sheetFormatPr defaultColWidth="9.21875" defaultRowHeight="30" customHeight="1"/>
  <cols>
    <col min="1" max="7" width="10.77734375" style="1" customWidth="1"/>
    <col min="8" max="16384" width="9.21875" style="1"/>
  </cols>
  <sheetData>
    <row r="1" spans="1:10" ht="30" customHeight="1" thickBot="1">
      <c r="A1" s="35" t="s">
        <v>84</v>
      </c>
    </row>
    <row r="2" spans="1:10" ht="30" customHeight="1" thickBot="1">
      <c r="A2" s="36" t="s">
        <v>85</v>
      </c>
      <c r="C2" s="37" t="s">
        <v>86</v>
      </c>
    </row>
    <row r="3" spans="1:10" ht="30" customHeight="1" thickBot="1"/>
    <row r="4" spans="1:10" ht="30" customHeight="1">
      <c r="A4" s="39" t="s">
        <v>0</v>
      </c>
      <c r="B4" s="40"/>
      <c r="C4" s="40"/>
      <c r="D4" s="40"/>
      <c r="E4" s="40"/>
      <c r="F4" s="40"/>
      <c r="G4" s="8" t="s">
        <v>5</v>
      </c>
    </row>
    <row r="5" spans="1:10" ht="30" customHeight="1">
      <c r="A5" s="11" t="s">
        <v>13</v>
      </c>
      <c r="B5" s="15">
        <f>'8.1'!B1</f>
        <v>64</v>
      </c>
      <c r="C5" s="15">
        <f>'8.1'!C1</f>
        <v>81</v>
      </c>
      <c r="D5" s="15">
        <f>'8.1'!D1</f>
        <v>62</v>
      </c>
      <c r="E5" s="15">
        <f>'8.1'!E1</f>
        <v>77</v>
      </c>
      <c r="F5" s="15">
        <f>'8.1'!F1</f>
        <v>76</v>
      </c>
      <c r="G5" s="9">
        <f>SUM(B5:F5)</f>
        <v>360</v>
      </c>
    </row>
    <row r="6" spans="1:10" ht="30" customHeight="1">
      <c r="A6" s="11" t="s">
        <v>14</v>
      </c>
      <c r="B6" s="15">
        <f>B5-$B$16</f>
        <v>-8</v>
      </c>
      <c r="C6" s="15">
        <f t="shared" ref="C6:F6" si="0">C5-$B$16</f>
        <v>9</v>
      </c>
      <c r="D6" s="15">
        <f t="shared" si="0"/>
        <v>-10</v>
      </c>
      <c r="E6" s="15">
        <f t="shared" si="0"/>
        <v>5</v>
      </c>
      <c r="F6" s="15">
        <f t="shared" si="0"/>
        <v>4</v>
      </c>
      <c r="G6" s="9">
        <f>SUM(B6:F6)</f>
        <v>0</v>
      </c>
    </row>
    <row r="7" spans="1:10" ht="30" customHeight="1">
      <c r="A7" s="11" t="s">
        <v>15</v>
      </c>
      <c r="B7" s="15">
        <f>B6^2</f>
        <v>64</v>
      </c>
      <c r="C7" s="15">
        <f t="shared" ref="C7:F7" si="1">C6^2</f>
        <v>81</v>
      </c>
      <c r="D7" s="15">
        <f t="shared" si="1"/>
        <v>100</v>
      </c>
      <c r="E7" s="15">
        <f t="shared" si="1"/>
        <v>25</v>
      </c>
      <c r="F7" s="15">
        <f t="shared" si="1"/>
        <v>16</v>
      </c>
      <c r="G7" s="9">
        <f>SUM(B7:F7)</f>
        <v>286</v>
      </c>
    </row>
    <row r="8" spans="1:10" ht="30" customHeight="1">
      <c r="A8" s="11" t="s">
        <v>16</v>
      </c>
      <c r="B8" s="15">
        <f>B6^3</f>
        <v>-512</v>
      </c>
      <c r="C8" s="15">
        <f t="shared" ref="C8:F8" si="2">C6^3</f>
        <v>729</v>
      </c>
      <c r="D8" s="15">
        <f t="shared" si="2"/>
        <v>-1000</v>
      </c>
      <c r="E8" s="15">
        <f t="shared" si="2"/>
        <v>125</v>
      </c>
      <c r="F8" s="15">
        <f t="shared" si="2"/>
        <v>64</v>
      </c>
      <c r="G8" s="9">
        <f>SUM(B8:F8)</f>
        <v>-594</v>
      </c>
    </row>
    <row r="9" spans="1:10" ht="30" customHeight="1" thickBot="1">
      <c r="A9" s="12" t="s">
        <v>17</v>
      </c>
      <c r="B9" s="16">
        <f>B6^4</f>
        <v>4096</v>
      </c>
      <c r="C9" s="16">
        <f t="shared" ref="C9:F9" si="3">C6^4</f>
        <v>6561</v>
      </c>
      <c r="D9" s="16">
        <f t="shared" si="3"/>
        <v>10000</v>
      </c>
      <c r="E9" s="16">
        <f t="shared" si="3"/>
        <v>625</v>
      </c>
      <c r="F9" s="16">
        <f t="shared" si="3"/>
        <v>256</v>
      </c>
      <c r="G9" s="10">
        <f>SUM(B9:F9)</f>
        <v>21538</v>
      </c>
    </row>
    <row r="10" spans="1:10" ht="30" customHeight="1">
      <c r="J10" s="7"/>
    </row>
    <row r="11" spans="1:10" ht="30" customHeight="1">
      <c r="A11" s="7" t="s">
        <v>7</v>
      </c>
      <c r="B11" s="7">
        <f>COUNT(B5:F5)</f>
        <v>5</v>
      </c>
      <c r="C11" s="7"/>
      <c r="D11" s="7"/>
      <c r="E11" s="7"/>
    </row>
    <row r="12" spans="1:10" ht="30" customHeight="1">
      <c r="A12" s="6" t="s">
        <v>18</v>
      </c>
      <c r="B12" s="7">
        <f>MEDIAN(B5:F5)</f>
        <v>76</v>
      </c>
      <c r="C12" s="7"/>
      <c r="D12" s="7"/>
      <c r="E12" s="7"/>
    </row>
    <row r="13" spans="1:10" ht="30" hidden="1" customHeight="1">
      <c r="A13" s="7" t="s">
        <v>34</v>
      </c>
      <c r="B13" s="7">
        <f>B12</f>
        <v>76</v>
      </c>
      <c r="C13" s="7"/>
      <c r="D13" s="7"/>
      <c r="E13" s="7"/>
    </row>
    <row r="14" spans="1:10" ht="30" hidden="1" customHeight="1">
      <c r="A14" s="6" t="s">
        <v>19</v>
      </c>
      <c r="B14" s="7" t="s">
        <v>20</v>
      </c>
      <c r="C14" s="7"/>
      <c r="D14" s="7"/>
      <c r="E14" s="7"/>
    </row>
    <row r="15" spans="1:10" ht="30" hidden="1" customHeight="1">
      <c r="A15" s="7" t="s">
        <v>35</v>
      </c>
      <c r="B15" s="7" t="s">
        <v>20</v>
      </c>
      <c r="C15" s="7"/>
      <c r="D15" s="7"/>
      <c r="E15" s="7"/>
    </row>
    <row r="16" spans="1:10" ht="30" customHeight="1">
      <c r="A16" s="6" t="s">
        <v>6</v>
      </c>
      <c r="B16" s="7">
        <f>G5/B11</f>
        <v>72</v>
      </c>
      <c r="C16" s="7"/>
      <c r="D16" s="7"/>
      <c r="E16" s="7"/>
    </row>
    <row r="17" spans="1:5" ht="30" hidden="1" customHeight="1">
      <c r="A17" s="7" t="s">
        <v>21</v>
      </c>
      <c r="B17" s="7">
        <f>B16</f>
        <v>72</v>
      </c>
      <c r="C17" s="7"/>
      <c r="D17" s="7"/>
      <c r="E17" s="7"/>
    </row>
    <row r="18" spans="1:5" ht="30" customHeight="1">
      <c r="A18" s="6" t="s">
        <v>8</v>
      </c>
      <c r="B18" s="7">
        <f t="shared" ref="B18" si="4">G7/$B$11</f>
        <v>57.2</v>
      </c>
      <c r="C18" s="7"/>
      <c r="D18" s="7"/>
      <c r="E18" s="7"/>
    </row>
    <row r="19" spans="1:5" ht="30" hidden="1" customHeight="1">
      <c r="A19" s="7" t="s">
        <v>22</v>
      </c>
      <c r="B19" s="7">
        <f>B18</f>
        <v>57.2</v>
      </c>
      <c r="C19" s="7"/>
      <c r="D19" s="7"/>
      <c r="E19" s="7"/>
    </row>
    <row r="20" spans="1:5" ht="30" hidden="1" customHeight="1">
      <c r="A20" s="7" t="s">
        <v>23</v>
      </c>
      <c r="B20" s="7">
        <f>n/(n-1)*B19</f>
        <v>71.5</v>
      </c>
      <c r="C20" s="7" t="s">
        <v>83</v>
      </c>
      <c r="D20" s="7"/>
      <c r="E20" s="7"/>
    </row>
    <row r="21" spans="1:5" ht="30" customHeight="1">
      <c r="A21" s="6" t="s">
        <v>9</v>
      </c>
      <c r="B21" s="7">
        <f>G8/$B$11</f>
        <v>-118.8</v>
      </c>
      <c r="C21" s="7"/>
      <c r="D21" s="6"/>
      <c r="E21" s="6"/>
    </row>
    <row r="22" spans="1:5" ht="30" hidden="1" customHeight="1">
      <c r="A22" s="7" t="s">
        <v>24</v>
      </c>
      <c r="B22" s="7">
        <f>B21</f>
        <v>-118.8</v>
      </c>
      <c r="C22" s="7"/>
      <c r="D22" s="6"/>
      <c r="E22" s="6"/>
    </row>
    <row r="23" spans="1:5" ht="30" hidden="1" customHeight="1">
      <c r="A23" s="7" t="s">
        <v>25</v>
      </c>
      <c r="B23" s="7">
        <f>n^2/((n-1)*(n-2))*_mc3</f>
        <v>-247.5</v>
      </c>
      <c r="C23" s="7"/>
      <c r="D23" s="6"/>
      <c r="E23" s="6"/>
    </row>
    <row r="24" spans="1:5" ht="30" customHeight="1">
      <c r="A24" s="6" t="s">
        <v>10</v>
      </c>
      <c r="B24" s="7">
        <f>G9/$B$11</f>
        <v>4307.6000000000004</v>
      </c>
      <c r="C24" s="7"/>
      <c r="D24" s="6"/>
      <c r="E24" s="6"/>
    </row>
    <row r="25" spans="1:5" ht="30" hidden="1" customHeight="1">
      <c r="A25" s="7" t="s">
        <v>26</v>
      </c>
      <c r="B25" s="7">
        <f>B24</f>
        <v>4307.6000000000004</v>
      </c>
      <c r="C25" s="7"/>
      <c r="D25" s="6"/>
      <c r="E25" s="6"/>
    </row>
    <row r="26" spans="1:5" ht="30" hidden="1" customHeight="1">
      <c r="A26" s="7" t="s">
        <v>27</v>
      </c>
      <c r="B26" s="7">
        <f>n*(n^2-2*n+3)/((n-1)*(n-2)*(n-3))*_mc4-3*n*(2*n-3)/((n-1)*(n-2)*(n-3))*_mc2^2</f>
        <v>1839.2000000000007</v>
      </c>
      <c r="C26" s="7"/>
      <c r="D26" s="6"/>
      <c r="E26" s="6"/>
    </row>
    <row r="27" spans="1:5" ht="30" customHeight="1">
      <c r="A27" s="6" t="s">
        <v>11</v>
      </c>
      <c r="B27" s="7">
        <f>B21/B18^1.5</f>
        <v>-0.27461382508451021</v>
      </c>
      <c r="C27" s="7"/>
      <c r="D27" s="6"/>
      <c r="E27" s="6"/>
    </row>
    <row r="28" spans="1:5" ht="30" hidden="1" customHeight="1">
      <c r="A28" s="7" t="s">
        <v>32</v>
      </c>
      <c r="B28" s="7">
        <f>B27</f>
        <v>-0.27461382508451021</v>
      </c>
      <c r="C28" s="7"/>
      <c r="D28" s="6"/>
      <c r="E28" s="6"/>
    </row>
    <row r="29" spans="1:5" ht="30" hidden="1" customHeight="1">
      <c r="A29" s="7" t="s">
        <v>28</v>
      </c>
      <c r="B29" s="7">
        <f>_mk3/_mk2^1.5</f>
        <v>-0.40937012030013437</v>
      </c>
      <c r="C29" s="7"/>
      <c r="D29" s="6"/>
      <c r="E29" s="6"/>
    </row>
    <row r="30" spans="1:5" ht="30" hidden="1" customHeight="1">
      <c r="A30" s="7" t="s">
        <v>29</v>
      </c>
      <c r="B30" s="7">
        <f>SQRT(n*(n-1))/(n-2)*B27</f>
        <v>-0.40937012030013453</v>
      </c>
      <c r="C30" s="7"/>
      <c r="D30" s="6"/>
      <c r="E30" s="6"/>
    </row>
    <row r="31" spans="1:5" ht="30" customHeight="1">
      <c r="A31" s="6" t="s">
        <v>12</v>
      </c>
      <c r="B31" s="7">
        <f>B24/B18^2-3</f>
        <v>-1.6834319526627219</v>
      </c>
    </row>
    <row r="32" spans="1:5" ht="30" hidden="1" customHeight="1">
      <c r="A32" s="7" t="s">
        <v>33</v>
      </c>
      <c r="B32" s="7">
        <f>B31</f>
        <v>-1.6834319526627219</v>
      </c>
    </row>
    <row r="33" spans="1:2" ht="30" hidden="1" customHeight="1">
      <c r="A33" s="7" t="s">
        <v>30</v>
      </c>
      <c r="B33" s="7">
        <f>_mk4/_mk2^2-3</f>
        <v>-2.6402366863905322</v>
      </c>
    </row>
    <row r="34" spans="1:2" ht="30" hidden="1" customHeight="1">
      <c r="A34" s="7" t="s">
        <v>31</v>
      </c>
      <c r="B34" s="7">
        <f>(n-1)/((n-2)*(n-3))*((n+1)*B31+6)</f>
        <v>-2.7337278106508878</v>
      </c>
    </row>
  </sheetData>
  <mergeCells count="1">
    <mergeCell ref="A4:F4"/>
  </mergeCells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3"/>
  <sheetViews>
    <sheetView topLeftCell="A20" workbookViewId="0">
      <selection activeCell="L34" sqref="L34"/>
    </sheetView>
  </sheetViews>
  <sheetFormatPr defaultColWidth="9.21875" defaultRowHeight="30" customHeight="1"/>
  <cols>
    <col min="1" max="8" width="10.77734375" style="1" customWidth="1"/>
    <col min="9" max="16384" width="9.21875" style="1"/>
  </cols>
  <sheetData>
    <row r="1" spans="1:11" ht="30" customHeight="1" thickBot="1">
      <c r="A1" s="36" t="s">
        <v>85</v>
      </c>
      <c r="C1" s="37" t="s">
        <v>86</v>
      </c>
    </row>
    <row r="2" spans="1:11" ht="30" customHeight="1" thickBot="1"/>
    <row r="3" spans="1:11" ht="30" customHeight="1">
      <c r="A3" s="39" t="s">
        <v>0</v>
      </c>
      <c r="B3" s="40"/>
      <c r="C3" s="40"/>
      <c r="D3" s="40"/>
      <c r="E3" s="40"/>
      <c r="F3" s="40"/>
      <c r="G3" s="40"/>
      <c r="H3" s="8" t="s">
        <v>5</v>
      </c>
    </row>
    <row r="4" spans="1:11" ht="30" customHeight="1">
      <c r="A4" s="11" t="s">
        <v>13</v>
      </c>
      <c r="B4" s="15">
        <f>'8.1'!B2</f>
        <v>88</v>
      </c>
      <c r="C4" s="15">
        <f>'8.1'!C2</f>
        <v>75</v>
      </c>
      <c r="D4" s="15">
        <f>'8.1'!D2</f>
        <v>62</v>
      </c>
      <c r="E4" s="15">
        <f>'8.1'!E2</f>
        <v>86</v>
      </c>
      <c r="F4" s="15">
        <f>'8.1'!F2</f>
        <v>65</v>
      </c>
      <c r="G4" s="15">
        <f>'8.1'!G2</f>
        <v>86</v>
      </c>
      <c r="H4" s="9">
        <f>SUM(B4:G4)</f>
        <v>462</v>
      </c>
    </row>
    <row r="5" spans="1:11" ht="30" customHeight="1">
      <c r="A5" s="11" t="s">
        <v>14</v>
      </c>
      <c r="B5" s="15">
        <f>B4-$B$15</f>
        <v>11</v>
      </c>
      <c r="C5" s="15">
        <f t="shared" ref="C5:G5" si="0">C4-$B$15</f>
        <v>-2</v>
      </c>
      <c r="D5" s="15">
        <f t="shared" si="0"/>
        <v>-15</v>
      </c>
      <c r="E5" s="15">
        <f t="shared" ref="E5" si="1">E4-$B$15</f>
        <v>9</v>
      </c>
      <c r="F5" s="15">
        <f t="shared" si="0"/>
        <v>-12</v>
      </c>
      <c r="G5" s="15">
        <f t="shared" si="0"/>
        <v>9</v>
      </c>
      <c r="H5" s="9">
        <f>SUM(B5:G5)</f>
        <v>0</v>
      </c>
    </row>
    <row r="6" spans="1:11" ht="30" customHeight="1">
      <c r="A6" s="11" t="s">
        <v>15</v>
      </c>
      <c r="B6" s="15">
        <f>B5^2</f>
        <v>121</v>
      </c>
      <c r="C6" s="15">
        <f t="shared" ref="C6:G6" si="2">C5^2</f>
        <v>4</v>
      </c>
      <c r="D6" s="15">
        <f t="shared" si="2"/>
        <v>225</v>
      </c>
      <c r="E6" s="15">
        <f t="shared" ref="E6" si="3">E5^2</f>
        <v>81</v>
      </c>
      <c r="F6" s="15">
        <f t="shared" si="2"/>
        <v>144</v>
      </c>
      <c r="G6" s="15">
        <f t="shared" si="2"/>
        <v>81</v>
      </c>
      <c r="H6" s="9">
        <f>SUM(B6:G6)</f>
        <v>656</v>
      </c>
    </row>
    <row r="7" spans="1:11" ht="30" customHeight="1">
      <c r="A7" s="11" t="s">
        <v>16</v>
      </c>
      <c r="B7" s="15">
        <f>B5^3</f>
        <v>1331</v>
      </c>
      <c r="C7" s="15">
        <f t="shared" ref="C7:G7" si="4">C5^3</f>
        <v>-8</v>
      </c>
      <c r="D7" s="15">
        <f t="shared" si="4"/>
        <v>-3375</v>
      </c>
      <c r="E7" s="15">
        <f t="shared" ref="E7" si="5">E5^3</f>
        <v>729</v>
      </c>
      <c r="F7" s="15">
        <f t="shared" si="4"/>
        <v>-1728</v>
      </c>
      <c r="G7" s="15">
        <f t="shared" si="4"/>
        <v>729</v>
      </c>
      <c r="H7" s="9">
        <f>SUM(B7:G7)</f>
        <v>-2322</v>
      </c>
    </row>
    <row r="8" spans="1:11" ht="30" customHeight="1" thickBot="1">
      <c r="A8" s="12" t="s">
        <v>17</v>
      </c>
      <c r="B8" s="16">
        <f>B5^4</f>
        <v>14641</v>
      </c>
      <c r="C8" s="16">
        <f t="shared" ref="C8:G8" si="6">C5^4</f>
        <v>16</v>
      </c>
      <c r="D8" s="16">
        <f t="shared" si="6"/>
        <v>50625</v>
      </c>
      <c r="E8" s="16">
        <f t="shared" ref="E8" si="7">E5^4</f>
        <v>6561</v>
      </c>
      <c r="F8" s="16">
        <f t="shared" si="6"/>
        <v>20736</v>
      </c>
      <c r="G8" s="16">
        <f t="shared" si="6"/>
        <v>6561</v>
      </c>
      <c r="H8" s="10">
        <f>SUM(B8:G8)</f>
        <v>99140</v>
      </c>
    </row>
    <row r="9" spans="1:11" ht="30" customHeight="1">
      <c r="K9" s="7"/>
    </row>
    <row r="10" spans="1:11" ht="30" customHeight="1">
      <c r="A10" s="7" t="s">
        <v>7</v>
      </c>
      <c r="B10" s="7">
        <f>COUNT(B4:G4)</f>
        <v>6</v>
      </c>
      <c r="C10" s="7"/>
      <c r="D10" s="7"/>
      <c r="E10" s="7"/>
      <c r="F10" s="7"/>
    </row>
    <row r="11" spans="1:11" ht="30" customHeight="1">
      <c r="A11" s="6" t="s">
        <v>18</v>
      </c>
      <c r="B11" s="7">
        <f>MEDIAN(B4:G4)</f>
        <v>80.5</v>
      </c>
      <c r="C11" s="7"/>
      <c r="D11" s="7"/>
      <c r="E11" s="7"/>
      <c r="F11" s="7"/>
    </row>
    <row r="12" spans="1:11" ht="30" hidden="1" customHeight="1">
      <c r="A12" s="7" t="s">
        <v>34</v>
      </c>
      <c r="B12" s="7">
        <f>B11</f>
        <v>80.5</v>
      </c>
      <c r="C12" s="7"/>
      <c r="D12" s="7"/>
      <c r="E12" s="7"/>
      <c r="F12" s="7"/>
    </row>
    <row r="13" spans="1:11" ht="30" hidden="1" customHeight="1">
      <c r="A13" s="6" t="s">
        <v>19</v>
      </c>
      <c r="B13" s="7" t="s">
        <v>20</v>
      </c>
      <c r="C13" s="7"/>
      <c r="D13" s="7"/>
      <c r="E13" s="7"/>
      <c r="F13" s="7"/>
    </row>
    <row r="14" spans="1:11" ht="30" hidden="1" customHeight="1">
      <c r="A14" s="7" t="s">
        <v>35</v>
      </c>
      <c r="B14" s="7" t="s">
        <v>20</v>
      </c>
      <c r="C14" s="7"/>
      <c r="D14" s="7"/>
      <c r="E14" s="7"/>
      <c r="F14" s="7"/>
    </row>
    <row r="15" spans="1:11" ht="30" customHeight="1">
      <c r="A15" s="6" t="s">
        <v>6</v>
      </c>
      <c r="B15" s="7">
        <f>H4/B10</f>
        <v>77</v>
      </c>
      <c r="C15" s="7"/>
      <c r="D15" s="7"/>
      <c r="E15" s="7"/>
      <c r="F15" s="7"/>
    </row>
    <row r="16" spans="1:11" ht="30" hidden="1" customHeight="1">
      <c r="A16" s="7" t="s">
        <v>21</v>
      </c>
      <c r="B16" s="7">
        <f>B15</f>
        <v>77</v>
      </c>
      <c r="C16" s="7"/>
      <c r="D16" s="7"/>
      <c r="E16" s="7"/>
      <c r="F16" s="7"/>
    </row>
    <row r="17" spans="1:6" ht="30" customHeight="1">
      <c r="A17" s="6" t="s">
        <v>8</v>
      </c>
      <c r="B17" s="7">
        <f t="shared" ref="B17" si="8">H6/$B$10</f>
        <v>109.33333333333333</v>
      </c>
      <c r="C17" s="7"/>
      <c r="D17" s="7"/>
      <c r="E17" s="7"/>
      <c r="F17" s="7"/>
    </row>
    <row r="18" spans="1:6" ht="30" hidden="1" customHeight="1">
      <c r="A18" s="7" t="s">
        <v>22</v>
      </c>
      <c r="B18" s="7">
        <f>B17</f>
        <v>109.33333333333333</v>
      </c>
      <c r="C18" s="7"/>
      <c r="D18" s="7"/>
      <c r="E18" s="7"/>
      <c r="F18" s="7"/>
    </row>
    <row r="19" spans="1:6" ht="30" hidden="1" customHeight="1">
      <c r="A19" s="7" t="s">
        <v>23</v>
      </c>
      <c r="B19" s="7">
        <f>n/(n-1)*B18</f>
        <v>131.19999999999999</v>
      </c>
      <c r="C19" s="7" t="s">
        <v>83</v>
      </c>
      <c r="D19" s="7"/>
      <c r="E19" s="7"/>
      <c r="F19" s="7"/>
    </row>
    <row r="20" spans="1:6" ht="30" customHeight="1">
      <c r="A20" s="6" t="s">
        <v>9</v>
      </c>
      <c r="B20" s="7">
        <f>H7/$B$10</f>
        <v>-387</v>
      </c>
      <c r="C20" s="7"/>
      <c r="D20" s="6"/>
      <c r="E20" s="6"/>
      <c r="F20" s="6"/>
    </row>
    <row r="21" spans="1:6" ht="30" hidden="1" customHeight="1">
      <c r="A21" s="7" t="s">
        <v>24</v>
      </c>
      <c r="B21" s="7">
        <f>B20</f>
        <v>-387</v>
      </c>
      <c r="C21" s="7"/>
      <c r="D21" s="6"/>
      <c r="E21" s="6"/>
      <c r="F21" s="6"/>
    </row>
    <row r="22" spans="1:6" ht="30" hidden="1" customHeight="1">
      <c r="A22" s="7" t="s">
        <v>25</v>
      </c>
      <c r="B22" s="7">
        <f>n^2/((n-1)*(n-2))*_mc3</f>
        <v>-696.6</v>
      </c>
      <c r="C22" s="7"/>
      <c r="D22" s="6"/>
      <c r="E22" s="6"/>
      <c r="F22" s="6"/>
    </row>
    <row r="23" spans="1:6" ht="30" customHeight="1">
      <c r="A23" s="6" t="s">
        <v>10</v>
      </c>
      <c r="B23" s="7">
        <f>H8/$B$10</f>
        <v>16523.333333333332</v>
      </c>
      <c r="C23" s="7"/>
      <c r="D23" s="6"/>
      <c r="E23" s="6"/>
      <c r="F23" s="6"/>
    </row>
    <row r="24" spans="1:6" ht="30" hidden="1" customHeight="1">
      <c r="A24" s="7" t="s">
        <v>26</v>
      </c>
      <c r="B24" s="7">
        <f>B23</f>
        <v>16523.333333333332</v>
      </c>
      <c r="C24" s="7"/>
      <c r="D24" s="6"/>
      <c r="E24" s="6"/>
      <c r="F24" s="6"/>
    </row>
    <row r="25" spans="1:6" ht="30" hidden="1" customHeight="1">
      <c r="A25" s="7" t="s">
        <v>27</v>
      </c>
      <c r="B25" s="7">
        <f>n*(n^2-2*n+3)/((n-1)*(n-2)*(n-3))*_mc4-3*n*(2*n-3)/((n-1)*(n-2)*(n-3))*_mc2^2</f>
        <v>12337.8</v>
      </c>
      <c r="C25" s="7"/>
      <c r="D25" s="6"/>
      <c r="E25" s="6"/>
      <c r="F25" s="6"/>
    </row>
    <row r="26" spans="1:6" ht="30" customHeight="1">
      <c r="A26" s="6" t="s">
        <v>11</v>
      </c>
      <c r="B26" s="7">
        <f>B20/B17^1.5</f>
        <v>-0.33851824567067179</v>
      </c>
      <c r="C26" s="7"/>
      <c r="D26" s="6"/>
      <c r="E26" s="6"/>
      <c r="F26" s="6"/>
    </row>
    <row r="27" spans="1:6" ht="30" hidden="1" customHeight="1">
      <c r="A27" s="7" t="s">
        <v>32</v>
      </c>
      <c r="B27" s="7">
        <f>B26</f>
        <v>-0.33851824567067179</v>
      </c>
      <c r="C27" s="7"/>
      <c r="D27" s="6"/>
      <c r="E27" s="6"/>
      <c r="F27" s="6"/>
    </row>
    <row r="28" spans="1:6" ht="30" hidden="1" customHeight="1">
      <c r="A28" s="7" t="s">
        <v>28</v>
      </c>
      <c r="B28" s="7">
        <f>_mk3/_mk2^1.5</f>
        <v>-0.46353519820225647</v>
      </c>
      <c r="C28" s="7"/>
      <c r="D28" s="6"/>
      <c r="E28" s="6"/>
      <c r="F28" s="6"/>
    </row>
    <row r="29" spans="1:6" ht="30" hidden="1" customHeight="1">
      <c r="A29" s="7" t="s">
        <v>29</v>
      </c>
      <c r="B29" s="7">
        <f>SQRT(n*(n-1))/(n-2)*B26</f>
        <v>-0.46353519820225619</v>
      </c>
      <c r="C29" s="7"/>
      <c r="D29" s="6"/>
      <c r="E29" s="6"/>
      <c r="F29" s="6"/>
    </row>
    <row r="30" spans="1:6" ht="30" customHeight="1">
      <c r="A30" s="6" t="s">
        <v>12</v>
      </c>
      <c r="B30" s="7">
        <f>B23/B17^2-3</f>
        <v>-1.6177312611540751</v>
      </c>
    </row>
    <row r="31" spans="1:6" ht="30" hidden="1" customHeight="1">
      <c r="A31" s="7" t="s">
        <v>33</v>
      </c>
      <c r="B31" s="7">
        <f>B30</f>
        <v>-1.6177312611540751</v>
      </c>
    </row>
    <row r="32" spans="1:6" ht="30" hidden="1" customHeight="1">
      <c r="A32" s="7" t="s">
        <v>30</v>
      </c>
      <c r="B32" s="7">
        <f>_mk4/_mk2^2-3</f>
        <v>-2.2832461146638905</v>
      </c>
    </row>
    <row r="33" spans="1:2" ht="30" hidden="1" customHeight="1">
      <c r="A33" s="7" t="s">
        <v>31</v>
      </c>
      <c r="B33" s="7">
        <f>(n-1)/((n-2)*(n-3))*((n+1)*B30+6)</f>
        <v>-2.218382845032719</v>
      </c>
    </row>
  </sheetData>
  <mergeCells count="1">
    <mergeCell ref="A3:G3"/>
  </mergeCells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33"/>
  <sheetViews>
    <sheetView workbookViewId="0">
      <selection activeCell="A2" sqref="A2:XFD2"/>
    </sheetView>
  </sheetViews>
  <sheetFormatPr defaultColWidth="9.21875" defaultRowHeight="30" customHeight="1"/>
  <cols>
    <col min="1" max="7" width="10.77734375" style="1" customWidth="1"/>
    <col min="8" max="16384" width="9.21875" style="1"/>
  </cols>
  <sheetData>
    <row r="1" spans="1:10" ht="30" customHeight="1" thickBot="1">
      <c r="A1" s="36" t="s">
        <v>87</v>
      </c>
      <c r="C1" s="37" t="s">
        <v>88</v>
      </c>
    </row>
    <row r="2" spans="1:10" ht="30" customHeight="1" thickBot="1"/>
    <row r="3" spans="1:10" ht="30" customHeight="1">
      <c r="A3" s="39" t="s">
        <v>0</v>
      </c>
      <c r="B3" s="40"/>
      <c r="C3" s="40"/>
      <c r="D3" s="40"/>
      <c r="E3" s="40"/>
      <c r="F3" s="40"/>
      <c r="G3" s="8" t="s">
        <v>5</v>
      </c>
    </row>
    <row r="4" spans="1:10" ht="30" customHeight="1">
      <c r="A4" s="11" t="s">
        <v>13</v>
      </c>
      <c r="B4" s="15">
        <f>'8.1'!B1</f>
        <v>64</v>
      </c>
      <c r="C4" s="15">
        <f>'8.1'!C1</f>
        <v>81</v>
      </c>
      <c r="D4" s="15">
        <f>'8.1'!D1</f>
        <v>62</v>
      </c>
      <c r="E4" s="15">
        <f>'8.1'!E1</f>
        <v>77</v>
      </c>
      <c r="F4" s="15">
        <f>'8.1'!F1</f>
        <v>76</v>
      </c>
      <c r="G4" s="9">
        <f>SUM(B4:F4)</f>
        <v>360</v>
      </c>
    </row>
    <row r="5" spans="1:10" ht="30" customHeight="1">
      <c r="A5" s="11" t="s">
        <v>14</v>
      </c>
      <c r="B5" s="15">
        <f>B4-$B$15</f>
        <v>-8</v>
      </c>
      <c r="C5" s="15">
        <f t="shared" ref="C5:F5" si="0">C4-$B$15</f>
        <v>9</v>
      </c>
      <c r="D5" s="15">
        <f t="shared" si="0"/>
        <v>-10</v>
      </c>
      <c r="E5" s="15">
        <f t="shared" si="0"/>
        <v>5</v>
      </c>
      <c r="F5" s="15">
        <f t="shared" si="0"/>
        <v>4</v>
      </c>
      <c r="G5" s="9">
        <f>SUM(B5:F5)</f>
        <v>0</v>
      </c>
    </row>
    <row r="6" spans="1:10" ht="30" customHeight="1">
      <c r="A6" s="11" t="s">
        <v>15</v>
      </c>
      <c r="B6" s="15">
        <f>B5^2</f>
        <v>64</v>
      </c>
      <c r="C6" s="15">
        <f t="shared" ref="C6:F6" si="1">C5^2</f>
        <v>81</v>
      </c>
      <c r="D6" s="15">
        <f t="shared" si="1"/>
        <v>100</v>
      </c>
      <c r="E6" s="15">
        <f t="shared" si="1"/>
        <v>25</v>
      </c>
      <c r="F6" s="15">
        <f t="shared" si="1"/>
        <v>16</v>
      </c>
      <c r="G6" s="9">
        <f>SUM(B6:F6)</f>
        <v>286</v>
      </c>
    </row>
    <row r="7" spans="1:10" ht="30" customHeight="1">
      <c r="A7" s="11" t="s">
        <v>16</v>
      </c>
      <c r="B7" s="15">
        <f>B5^3</f>
        <v>-512</v>
      </c>
      <c r="C7" s="15">
        <f t="shared" ref="C7:F7" si="2">C5^3</f>
        <v>729</v>
      </c>
      <c r="D7" s="15">
        <f t="shared" si="2"/>
        <v>-1000</v>
      </c>
      <c r="E7" s="15">
        <f t="shared" si="2"/>
        <v>125</v>
      </c>
      <c r="F7" s="15">
        <f t="shared" si="2"/>
        <v>64</v>
      </c>
      <c r="G7" s="9">
        <f>SUM(B7:F7)</f>
        <v>-594</v>
      </c>
    </row>
    <row r="8" spans="1:10" ht="30" customHeight="1" thickBot="1">
      <c r="A8" s="12" t="s">
        <v>17</v>
      </c>
      <c r="B8" s="16">
        <f>B5^4</f>
        <v>4096</v>
      </c>
      <c r="C8" s="16">
        <f t="shared" ref="C8:F8" si="3">C5^4</f>
        <v>6561</v>
      </c>
      <c r="D8" s="16">
        <f t="shared" si="3"/>
        <v>10000</v>
      </c>
      <c r="E8" s="16">
        <f t="shared" si="3"/>
        <v>625</v>
      </c>
      <c r="F8" s="16">
        <f t="shared" si="3"/>
        <v>256</v>
      </c>
      <c r="G8" s="10">
        <f>SUM(B8:F8)</f>
        <v>21538</v>
      </c>
    </row>
    <row r="9" spans="1:10" ht="30" customHeight="1">
      <c r="J9" s="7"/>
    </row>
    <row r="10" spans="1:10" ht="30" customHeight="1">
      <c r="A10" s="7" t="s">
        <v>7</v>
      </c>
      <c r="B10" s="7">
        <f>COUNT(B4:F4)</f>
        <v>5</v>
      </c>
      <c r="C10" s="7"/>
      <c r="D10" s="7"/>
      <c r="E10" s="7"/>
    </row>
    <row r="11" spans="1:10" ht="30" hidden="1" customHeight="1">
      <c r="A11" s="6" t="s">
        <v>18</v>
      </c>
      <c r="B11" s="7">
        <f>MEDIAN(B4:F4)</f>
        <v>76</v>
      </c>
      <c r="C11" s="7"/>
      <c r="D11" s="7"/>
      <c r="E11" s="7"/>
    </row>
    <row r="12" spans="1:10" ht="30" customHeight="1">
      <c r="A12" s="7" t="s">
        <v>34</v>
      </c>
      <c r="B12" s="7">
        <f>B11</f>
        <v>76</v>
      </c>
      <c r="C12" s="7"/>
      <c r="D12" s="7"/>
      <c r="E12" s="7"/>
    </row>
    <row r="13" spans="1:10" ht="30" hidden="1" customHeight="1">
      <c r="A13" s="6" t="s">
        <v>19</v>
      </c>
      <c r="B13" s="7" t="s">
        <v>20</v>
      </c>
      <c r="C13" s="7"/>
      <c r="D13" s="7"/>
      <c r="E13" s="7"/>
    </row>
    <row r="14" spans="1:10" ht="30" hidden="1" customHeight="1">
      <c r="A14" s="7" t="s">
        <v>35</v>
      </c>
      <c r="B14" s="7" t="s">
        <v>20</v>
      </c>
      <c r="C14" s="7"/>
      <c r="D14" s="7"/>
      <c r="E14" s="7"/>
    </row>
    <row r="15" spans="1:10" ht="30" hidden="1" customHeight="1">
      <c r="A15" s="6" t="s">
        <v>6</v>
      </c>
      <c r="B15" s="7">
        <f>G4/B10</f>
        <v>72</v>
      </c>
      <c r="C15" s="7"/>
      <c r="D15" s="7"/>
      <c r="E15" s="7"/>
    </row>
    <row r="16" spans="1:10" ht="30" customHeight="1">
      <c r="A16" s="7" t="s">
        <v>21</v>
      </c>
      <c r="B16" s="7">
        <f>B15</f>
        <v>72</v>
      </c>
      <c r="C16" s="7"/>
      <c r="D16" s="7"/>
      <c r="E16" s="7"/>
    </row>
    <row r="17" spans="1:5" ht="30" hidden="1" customHeight="1">
      <c r="A17" s="6" t="s">
        <v>8</v>
      </c>
      <c r="B17" s="7">
        <f t="shared" ref="B17" si="4">G6/$B$10</f>
        <v>57.2</v>
      </c>
      <c r="C17" s="7"/>
      <c r="D17" s="7"/>
      <c r="E17" s="7"/>
    </row>
    <row r="18" spans="1:5" ht="30" customHeight="1">
      <c r="A18" s="7" t="s">
        <v>22</v>
      </c>
      <c r="B18" s="7">
        <f>B17</f>
        <v>57.2</v>
      </c>
      <c r="C18" s="7"/>
      <c r="D18" s="7"/>
      <c r="E18" s="7"/>
    </row>
    <row r="19" spans="1:5" ht="30" customHeight="1">
      <c r="A19" s="7" t="s">
        <v>23</v>
      </c>
      <c r="B19" s="7">
        <f>n/(n-1)*B18</f>
        <v>71.5</v>
      </c>
      <c r="C19" s="7" t="s">
        <v>83</v>
      </c>
      <c r="D19" s="7"/>
      <c r="E19" s="7"/>
    </row>
    <row r="20" spans="1:5" ht="30" hidden="1" customHeight="1">
      <c r="A20" s="6" t="s">
        <v>9</v>
      </c>
      <c r="B20" s="7">
        <f>G7/$B$10</f>
        <v>-118.8</v>
      </c>
      <c r="C20" s="7"/>
      <c r="D20" s="6"/>
      <c r="E20" s="6"/>
    </row>
    <row r="21" spans="1:5" ht="30" customHeight="1">
      <c r="A21" s="7" t="s">
        <v>24</v>
      </c>
      <c r="B21" s="7">
        <f>B20</f>
        <v>-118.8</v>
      </c>
      <c r="C21" s="7"/>
      <c r="D21" s="6"/>
      <c r="E21" s="6"/>
    </row>
    <row r="22" spans="1:5" ht="30" hidden="1" customHeight="1">
      <c r="A22" s="7" t="s">
        <v>25</v>
      </c>
      <c r="B22" s="7">
        <f>n^2/((n-1)*(n-2))*_mc3</f>
        <v>-247.5</v>
      </c>
      <c r="C22" s="7"/>
      <c r="D22" s="6"/>
      <c r="E22" s="6"/>
    </row>
    <row r="23" spans="1:5" ht="30" hidden="1" customHeight="1">
      <c r="A23" s="6" t="s">
        <v>10</v>
      </c>
      <c r="B23" s="7">
        <f>G8/$B$10</f>
        <v>4307.6000000000004</v>
      </c>
      <c r="C23" s="7"/>
      <c r="D23" s="6"/>
      <c r="E23" s="6"/>
    </row>
    <row r="24" spans="1:5" ht="30" customHeight="1">
      <c r="A24" s="7" t="s">
        <v>26</v>
      </c>
      <c r="B24" s="7">
        <f>B23</f>
        <v>4307.6000000000004</v>
      </c>
      <c r="C24" s="7"/>
      <c r="D24" s="6"/>
      <c r="E24" s="6"/>
    </row>
    <row r="25" spans="1:5" ht="30" hidden="1" customHeight="1">
      <c r="A25" s="7" t="s">
        <v>27</v>
      </c>
      <c r="B25" s="7">
        <f>n*(n^2-2*n+3)/((n-1)*(n-2)*(n-3))*_mc4-3*n*(2*n-3)/((n-1)*(n-2)*(n-3))*_mc2^2</f>
        <v>1839.2000000000007</v>
      </c>
      <c r="C25" s="7"/>
      <c r="D25" s="6"/>
      <c r="E25" s="6"/>
    </row>
    <row r="26" spans="1:5" ht="30" hidden="1" customHeight="1">
      <c r="A26" s="6" t="s">
        <v>11</v>
      </c>
      <c r="B26" s="7">
        <f>B20/B17^1.5</f>
        <v>-0.27461382508451021</v>
      </c>
      <c r="C26" s="7"/>
      <c r="D26" s="6"/>
      <c r="E26" s="6"/>
    </row>
    <row r="27" spans="1:5" ht="30" customHeight="1">
      <c r="A27" s="7" t="s">
        <v>32</v>
      </c>
      <c r="B27" s="7">
        <f>B26</f>
        <v>-0.27461382508451021</v>
      </c>
      <c r="C27" s="7"/>
      <c r="D27" s="6"/>
      <c r="E27" s="6"/>
    </row>
    <row r="28" spans="1:5" ht="30" hidden="1" customHeight="1">
      <c r="A28" s="7" t="s">
        <v>28</v>
      </c>
      <c r="B28" s="7">
        <f>_mk3/_mk2^1.5</f>
        <v>-0.40937012030013437</v>
      </c>
      <c r="C28" s="7"/>
      <c r="D28" s="6"/>
      <c r="E28" s="6"/>
    </row>
    <row r="29" spans="1:5" ht="30" customHeight="1">
      <c r="A29" s="7" t="s">
        <v>29</v>
      </c>
      <c r="B29" s="7">
        <f>SQRT(n*(n-1))/(n-2)*B26</f>
        <v>-0.40937012030013453</v>
      </c>
      <c r="C29" s="7"/>
      <c r="D29" s="6"/>
      <c r="E29" s="6"/>
    </row>
    <row r="30" spans="1:5" ht="30" hidden="1" customHeight="1">
      <c r="A30" s="6" t="s">
        <v>12</v>
      </c>
      <c r="B30" s="7">
        <f>B23/B17^2-3</f>
        <v>-1.6834319526627219</v>
      </c>
    </row>
    <row r="31" spans="1:5" ht="30" customHeight="1">
      <c r="A31" s="7" t="s">
        <v>33</v>
      </c>
      <c r="B31" s="7">
        <f>B30</f>
        <v>-1.6834319526627219</v>
      </c>
    </row>
    <row r="32" spans="1:5" ht="30" hidden="1" customHeight="1">
      <c r="A32" s="7" t="s">
        <v>30</v>
      </c>
      <c r="B32" s="7">
        <f>_mk4/_mk2^2-3</f>
        <v>-2.6402366863905322</v>
      </c>
    </row>
    <row r="33" spans="1:2" ht="30" customHeight="1">
      <c r="A33" s="7" t="s">
        <v>31</v>
      </c>
      <c r="B33" s="7">
        <f>(n-1)/((n-2)*(n-3))*((n+1)*B30+6)</f>
        <v>-2.7337278106508878</v>
      </c>
    </row>
  </sheetData>
  <mergeCells count="1">
    <mergeCell ref="A3:F3"/>
  </mergeCells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33"/>
  <sheetViews>
    <sheetView workbookViewId="0">
      <selection sqref="A1:XFD1"/>
    </sheetView>
  </sheetViews>
  <sheetFormatPr defaultColWidth="9.21875" defaultRowHeight="30" customHeight="1"/>
  <cols>
    <col min="1" max="8" width="10.77734375" style="1" customWidth="1"/>
    <col min="9" max="16384" width="9.21875" style="1"/>
  </cols>
  <sheetData>
    <row r="1" spans="1:11" ht="30" customHeight="1" thickBot="1">
      <c r="A1" s="36" t="s">
        <v>85</v>
      </c>
      <c r="C1" s="37" t="s">
        <v>88</v>
      </c>
    </row>
    <row r="2" spans="1:11" ht="30" customHeight="1" thickBot="1"/>
    <row r="3" spans="1:11" ht="30" customHeight="1">
      <c r="A3" s="39" t="s">
        <v>1</v>
      </c>
      <c r="B3" s="40"/>
      <c r="C3" s="40"/>
      <c r="D3" s="40"/>
      <c r="E3" s="40"/>
      <c r="F3" s="40"/>
      <c r="G3" s="40"/>
      <c r="H3" s="8" t="s">
        <v>5</v>
      </c>
    </row>
    <row r="4" spans="1:11" ht="30" customHeight="1">
      <c r="A4" s="11" t="s">
        <v>13</v>
      </c>
      <c r="B4" s="15">
        <f>'8.1'!B2</f>
        <v>88</v>
      </c>
      <c r="C4" s="15">
        <f>'8.1'!C2</f>
        <v>75</v>
      </c>
      <c r="D4" s="15">
        <f>'8.1'!D2</f>
        <v>62</v>
      </c>
      <c r="E4" s="15">
        <f>'8.1'!E2</f>
        <v>86</v>
      </c>
      <c r="F4" s="15">
        <f>'8.1'!F2</f>
        <v>65</v>
      </c>
      <c r="G4" s="15">
        <f>'8.1'!G2</f>
        <v>86</v>
      </c>
      <c r="H4" s="9">
        <f>SUM(B4:G4)</f>
        <v>462</v>
      </c>
    </row>
    <row r="5" spans="1:11" ht="30" customHeight="1">
      <c r="A5" s="11" t="s">
        <v>14</v>
      </c>
      <c r="B5" s="15">
        <f>B4-$B$15</f>
        <v>11</v>
      </c>
      <c r="C5" s="15">
        <f t="shared" ref="C5:G5" si="0">C4-$B$15</f>
        <v>-2</v>
      </c>
      <c r="D5" s="15">
        <f t="shared" si="0"/>
        <v>-15</v>
      </c>
      <c r="E5" s="15">
        <f t="shared" ref="E5" si="1">E4-$B$15</f>
        <v>9</v>
      </c>
      <c r="F5" s="15">
        <f t="shared" si="0"/>
        <v>-12</v>
      </c>
      <c r="G5" s="15">
        <f t="shared" si="0"/>
        <v>9</v>
      </c>
      <c r="H5" s="9">
        <f>SUM(B5:G5)</f>
        <v>0</v>
      </c>
    </row>
    <row r="6" spans="1:11" ht="30" customHeight="1">
      <c r="A6" s="11" t="s">
        <v>15</v>
      </c>
      <c r="B6" s="15">
        <f>B5^2</f>
        <v>121</v>
      </c>
      <c r="C6" s="15">
        <f t="shared" ref="C6:G6" si="2">C5^2</f>
        <v>4</v>
      </c>
      <c r="D6" s="15">
        <f t="shared" si="2"/>
        <v>225</v>
      </c>
      <c r="E6" s="15">
        <f t="shared" ref="E6" si="3">E5^2</f>
        <v>81</v>
      </c>
      <c r="F6" s="15">
        <f t="shared" si="2"/>
        <v>144</v>
      </c>
      <c r="G6" s="15">
        <f t="shared" si="2"/>
        <v>81</v>
      </c>
      <c r="H6" s="9">
        <f>SUM(B6:G6)</f>
        <v>656</v>
      </c>
    </row>
    <row r="7" spans="1:11" ht="30" customHeight="1">
      <c r="A7" s="11" t="s">
        <v>16</v>
      </c>
      <c r="B7" s="15">
        <f>B5^3</f>
        <v>1331</v>
      </c>
      <c r="C7" s="15">
        <f t="shared" ref="C7:G7" si="4">C5^3</f>
        <v>-8</v>
      </c>
      <c r="D7" s="15">
        <f t="shared" si="4"/>
        <v>-3375</v>
      </c>
      <c r="E7" s="15">
        <f t="shared" ref="E7" si="5">E5^3</f>
        <v>729</v>
      </c>
      <c r="F7" s="15">
        <f t="shared" si="4"/>
        <v>-1728</v>
      </c>
      <c r="G7" s="15">
        <f t="shared" si="4"/>
        <v>729</v>
      </c>
      <c r="H7" s="9">
        <f>SUM(B7:G7)</f>
        <v>-2322</v>
      </c>
    </row>
    <row r="8" spans="1:11" ht="30" customHeight="1" thickBot="1">
      <c r="A8" s="12" t="s">
        <v>17</v>
      </c>
      <c r="B8" s="16">
        <f>B5^4</f>
        <v>14641</v>
      </c>
      <c r="C8" s="16">
        <f t="shared" ref="C8:G8" si="6">C5^4</f>
        <v>16</v>
      </c>
      <c r="D8" s="16">
        <f t="shared" si="6"/>
        <v>50625</v>
      </c>
      <c r="E8" s="16">
        <f t="shared" ref="E8" si="7">E5^4</f>
        <v>6561</v>
      </c>
      <c r="F8" s="16">
        <f t="shared" si="6"/>
        <v>20736</v>
      </c>
      <c r="G8" s="16">
        <f t="shared" si="6"/>
        <v>6561</v>
      </c>
      <c r="H8" s="10">
        <f>SUM(B8:G8)</f>
        <v>99140</v>
      </c>
    </row>
    <row r="9" spans="1:11" ht="30" customHeight="1">
      <c r="K9" s="7"/>
    </row>
    <row r="10" spans="1:11" ht="30" customHeight="1">
      <c r="A10" s="7" t="s">
        <v>7</v>
      </c>
      <c r="B10" s="7">
        <f>COUNT(B4:G4)</f>
        <v>6</v>
      </c>
      <c r="C10" s="7"/>
      <c r="D10" s="7"/>
      <c r="E10" s="7"/>
      <c r="F10" s="7"/>
    </row>
    <row r="11" spans="1:11" ht="30" hidden="1" customHeight="1">
      <c r="A11" s="6" t="s">
        <v>18</v>
      </c>
      <c r="B11" s="7">
        <f>MEDIAN(B4:G4)</f>
        <v>80.5</v>
      </c>
      <c r="C11" s="7"/>
      <c r="D11" s="7"/>
      <c r="E11" s="7"/>
      <c r="F11" s="7"/>
    </row>
    <row r="12" spans="1:11" ht="30" customHeight="1">
      <c r="A12" s="7" t="s">
        <v>34</v>
      </c>
      <c r="B12" s="7">
        <f>B11</f>
        <v>80.5</v>
      </c>
      <c r="C12" s="7"/>
      <c r="D12" s="7"/>
      <c r="E12" s="7"/>
      <c r="F12" s="7"/>
    </row>
    <row r="13" spans="1:11" ht="30" hidden="1" customHeight="1">
      <c r="A13" s="6" t="s">
        <v>19</v>
      </c>
      <c r="B13" s="7" t="s">
        <v>20</v>
      </c>
      <c r="C13" s="7"/>
      <c r="D13" s="7"/>
      <c r="E13" s="7"/>
      <c r="F13" s="7"/>
    </row>
    <row r="14" spans="1:11" ht="30" hidden="1" customHeight="1">
      <c r="A14" s="7" t="s">
        <v>35</v>
      </c>
      <c r="B14" s="7" t="s">
        <v>20</v>
      </c>
      <c r="C14" s="7"/>
      <c r="D14" s="7"/>
      <c r="E14" s="7"/>
      <c r="F14" s="7"/>
    </row>
    <row r="15" spans="1:11" ht="30" hidden="1" customHeight="1">
      <c r="A15" s="6" t="s">
        <v>6</v>
      </c>
      <c r="B15" s="7">
        <f>H4/B10</f>
        <v>77</v>
      </c>
      <c r="C15" s="7"/>
      <c r="D15" s="7"/>
      <c r="E15" s="7"/>
      <c r="F15" s="7"/>
    </row>
    <row r="16" spans="1:11" ht="30" customHeight="1">
      <c r="A16" s="7" t="s">
        <v>21</v>
      </c>
      <c r="B16" s="7">
        <f>B15</f>
        <v>77</v>
      </c>
      <c r="C16" s="7"/>
      <c r="D16" s="7"/>
      <c r="E16" s="7"/>
      <c r="F16" s="7"/>
    </row>
    <row r="17" spans="1:6" ht="30" hidden="1" customHeight="1">
      <c r="A17" s="6" t="s">
        <v>8</v>
      </c>
      <c r="B17" s="7">
        <f t="shared" ref="B17" si="8">H6/$B$10</f>
        <v>109.33333333333333</v>
      </c>
      <c r="C17" s="7"/>
      <c r="D17" s="7"/>
      <c r="E17" s="7"/>
      <c r="F17" s="7"/>
    </row>
    <row r="18" spans="1:6" ht="30" customHeight="1">
      <c r="A18" s="7" t="s">
        <v>22</v>
      </c>
      <c r="B18" s="7">
        <f>B17</f>
        <v>109.33333333333333</v>
      </c>
      <c r="C18" s="7"/>
      <c r="D18" s="7"/>
      <c r="E18" s="7"/>
      <c r="F18" s="7"/>
    </row>
    <row r="19" spans="1:6" ht="30" customHeight="1">
      <c r="A19" s="7" t="s">
        <v>23</v>
      </c>
      <c r="B19" s="7">
        <f>n/(n-1)*B18</f>
        <v>131.19999999999999</v>
      </c>
      <c r="C19" s="7" t="s">
        <v>83</v>
      </c>
      <c r="D19" s="7"/>
      <c r="E19" s="7"/>
      <c r="F19" s="7"/>
    </row>
    <row r="20" spans="1:6" ht="30" hidden="1" customHeight="1">
      <c r="A20" s="6" t="s">
        <v>9</v>
      </c>
      <c r="B20" s="7">
        <f>H7/$B$10</f>
        <v>-387</v>
      </c>
      <c r="C20" s="7"/>
      <c r="D20" s="6"/>
      <c r="E20" s="6"/>
      <c r="F20" s="6"/>
    </row>
    <row r="21" spans="1:6" ht="30" customHeight="1">
      <c r="A21" s="7" t="s">
        <v>24</v>
      </c>
      <c r="B21" s="7">
        <f>B20</f>
        <v>-387</v>
      </c>
      <c r="C21" s="7"/>
      <c r="D21" s="6"/>
      <c r="E21" s="6"/>
      <c r="F21" s="6"/>
    </row>
    <row r="22" spans="1:6" ht="30" hidden="1" customHeight="1">
      <c r="A22" s="7" t="s">
        <v>25</v>
      </c>
      <c r="B22" s="7">
        <f>n^2/((n-1)*(n-2))*_mc3</f>
        <v>-696.6</v>
      </c>
      <c r="C22" s="7"/>
      <c r="D22" s="6"/>
      <c r="E22" s="6"/>
      <c r="F22" s="6"/>
    </row>
    <row r="23" spans="1:6" ht="30" hidden="1" customHeight="1">
      <c r="A23" s="6" t="s">
        <v>10</v>
      </c>
      <c r="B23" s="7">
        <f>H8/$B$10</f>
        <v>16523.333333333332</v>
      </c>
      <c r="C23" s="7"/>
      <c r="D23" s="6"/>
      <c r="E23" s="6"/>
      <c r="F23" s="6"/>
    </row>
    <row r="24" spans="1:6" ht="30" customHeight="1">
      <c r="A24" s="7" t="s">
        <v>26</v>
      </c>
      <c r="B24" s="7">
        <f>B23</f>
        <v>16523.333333333332</v>
      </c>
      <c r="C24" s="7"/>
      <c r="D24" s="6"/>
      <c r="E24" s="6"/>
      <c r="F24" s="6"/>
    </row>
    <row r="25" spans="1:6" ht="30" hidden="1" customHeight="1">
      <c r="A25" s="7" t="s">
        <v>27</v>
      </c>
      <c r="B25" s="7">
        <f>n*(n^2-2*n+3)/((n-1)*(n-2)*(n-3))*_mc4-3*n*(2*n-3)/((n-1)*(n-2)*(n-3))*_mc2^2</f>
        <v>12337.8</v>
      </c>
      <c r="C25" s="7"/>
      <c r="D25" s="6"/>
      <c r="E25" s="6"/>
      <c r="F25" s="6"/>
    </row>
    <row r="26" spans="1:6" ht="30" hidden="1" customHeight="1">
      <c r="A26" s="6" t="s">
        <v>11</v>
      </c>
      <c r="B26" s="7">
        <f>B20/B17^1.5</f>
        <v>-0.33851824567067179</v>
      </c>
      <c r="C26" s="7"/>
      <c r="D26" s="6"/>
      <c r="E26" s="6"/>
      <c r="F26" s="6"/>
    </row>
    <row r="27" spans="1:6" ht="30" customHeight="1">
      <c r="A27" s="7" t="s">
        <v>32</v>
      </c>
      <c r="B27" s="7">
        <f>B26</f>
        <v>-0.33851824567067179</v>
      </c>
      <c r="C27" s="7"/>
      <c r="D27" s="6"/>
      <c r="E27" s="6"/>
      <c r="F27" s="6"/>
    </row>
    <row r="28" spans="1:6" ht="30" hidden="1" customHeight="1">
      <c r="A28" s="7" t="s">
        <v>28</v>
      </c>
      <c r="B28" s="7">
        <f>_mk3/_mk2^1.5</f>
        <v>-0.46353519820225647</v>
      </c>
      <c r="C28" s="7"/>
      <c r="D28" s="6"/>
      <c r="E28" s="6"/>
      <c r="F28" s="6"/>
    </row>
    <row r="29" spans="1:6" ht="30" customHeight="1">
      <c r="A29" s="7" t="s">
        <v>29</v>
      </c>
      <c r="B29" s="7">
        <f>SQRT(n*(n-1))/(n-2)*B26</f>
        <v>-0.46353519820225619</v>
      </c>
      <c r="C29" s="7"/>
      <c r="D29" s="6"/>
      <c r="E29" s="6"/>
      <c r="F29" s="6"/>
    </row>
    <row r="30" spans="1:6" ht="30" hidden="1" customHeight="1">
      <c r="A30" s="6" t="s">
        <v>12</v>
      </c>
      <c r="B30" s="7">
        <f>B23/B17^2-3</f>
        <v>-1.6177312611540751</v>
      </c>
    </row>
    <row r="31" spans="1:6" ht="30" customHeight="1">
      <c r="A31" s="7" t="s">
        <v>33</v>
      </c>
      <c r="B31" s="7">
        <f>B30</f>
        <v>-1.6177312611540751</v>
      </c>
    </row>
    <row r="32" spans="1:6" ht="30" hidden="1" customHeight="1">
      <c r="A32" s="7" t="s">
        <v>30</v>
      </c>
      <c r="B32" s="7">
        <f>_mk4/_mk2^2-3</f>
        <v>-2.2832461146638905</v>
      </c>
    </row>
    <row r="33" spans="1:2" ht="30" customHeight="1">
      <c r="A33" s="7" t="s">
        <v>31</v>
      </c>
      <c r="B33" s="7">
        <f>(n-1)/((n-2)*(n-3))*((n+1)*B30+6)</f>
        <v>-2.218382845032719</v>
      </c>
    </row>
  </sheetData>
  <mergeCells count="1">
    <mergeCell ref="A3:G3"/>
  </mergeCells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36"/>
  <sheetViews>
    <sheetView topLeftCell="A7" workbookViewId="0">
      <selection activeCell="D2" sqref="D2"/>
    </sheetView>
  </sheetViews>
  <sheetFormatPr defaultColWidth="9.21875" defaultRowHeight="15.6"/>
  <cols>
    <col min="1" max="1" width="9.21875" style="1"/>
    <col min="2" max="2" width="0" style="1" hidden="1" customWidth="1"/>
    <col min="3" max="16384" width="9.21875" style="1"/>
  </cols>
  <sheetData>
    <row r="1" spans="1:10" ht="30" customHeight="1" thickBot="1">
      <c r="A1" s="36">
        <v>8.1999999999999993</v>
      </c>
      <c r="D1" s="37" t="s">
        <v>89</v>
      </c>
    </row>
    <row r="2" spans="1:10" ht="16.2" thickBot="1"/>
    <row r="3" spans="1:10" ht="19.2">
      <c r="A3" s="13" t="s">
        <v>41</v>
      </c>
      <c r="B3" s="14"/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42</v>
      </c>
      <c r="H3" s="14" t="s">
        <v>43</v>
      </c>
      <c r="I3" s="14" t="s">
        <v>44</v>
      </c>
      <c r="J3" s="17" t="s">
        <v>45</v>
      </c>
    </row>
    <row r="4" spans="1:10">
      <c r="A4" s="18">
        <v>0</v>
      </c>
      <c r="B4" s="15" t="str">
        <f>CONCATENATE("=",A4)</f>
        <v>=0</v>
      </c>
      <c r="C4" s="15">
        <f>COUNTIFS('8.2'!$A$1:$J$7,'R8.2'!B4)</f>
        <v>29</v>
      </c>
      <c r="D4" s="19">
        <f>C4/$C$12</f>
        <v>0.41428571428571431</v>
      </c>
      <c r="E4" s="15">
        <f>C4</f>
        <v>29</v>
      </c>
      <c r="F4" s="15">
        <f>D4</f>
        <v>0.41428571428571431</v>
      </c>
      <c r="G4" s="15">
        <f>A4*D4</f>
        <v>0</v>
      </c>
      <c r="H4" s="15">
        <f>A4^2*D4</f>
        <v>0</v>
      </c>
      <c r="I4" s="15">
        <f>A4^3*D4</f>
        <v>0</v>
      </c>
      <c r="J4" s="20">
        <f>A4^4*D4</f>
        <v>0</v>
      </c>
    </row>
    <row r="5" spans="1:10">
      <c r="A5" s="18">
        <v>1</v>
      </c>
      <c r="B5" s="15" t="str">
        <f t="shared" ref="B5:B11" si="0">CONCATENATE("=",A5)</f>
        <v>=1</v>
      </c>
      <c r="C5" s="15">
        <f>COUNTIFS('8.2'!$A$1:$J$7,'R8.2'!B5)</f>
        <v>13</v>
      </c>
      <c r="D5" s="19">
        <f t="shared" ref="D5:D11" si="1">C5/$C$12</f>
        <v>0.18571428571428572</v>
      </c>
      <c r="E5" s="15">
        <f>C5+E4</f>
        <v>42</v>
      </c>
      <c r="F5" s="15">
        <f>D5+F4</f>
        <v>0.60000000000000009</v>
      </c>
      <c r="G5" s="15">
        <f t="shared" ref="G5:G11" si="2">A5*D5</f>
        <v>0.18571428571428572</v>
      </c>
      <c r="H5" s="15">
        <f t="shared" ref="H5:H11" si="3">A5^2*D5</f>
        <v>0.18571428571428572</v>
      </c>
      <c r="I5" s="15">
        <f t="shared" ref="I5:I11" si="4">A5^3*D5</f>
        <v>0.18571428571428572</v>
      </c>
      <c r="J5" s="20">
        <f t="shared" ref="J5:J11" si="5">A5^4*D5</f>
        <v>0.18571428571428572</v>
      </c>
    </row>
    <row r="6" spans="1:10">
      <c r="A6" s="18">
        <v>2</v>
      </c>
      <c r="B6" s="15" t="str">
        <f t="shared" si="0"/>
        <v>=2</v>
      </c>
      <c r="C6" s="15">
        <f>COUNTIFS('8.2'!$A$1:$J$7,'R8.2'!B6)</f>
        <v>12</v>
      </c>
      <c r="D6" s="19">
        <f t="shared" si="1"/>
        <v>0.17142857142857143</v>
      </c>
      <c r="E6" s="15">
        <f t="shared" ref="E6:F11" si="6">C6+E5</f>
        <v>54</v>
      </c>
      <c r="F6" s="15">
        <f t="shared" si="6"/>
        <v>0.77142857142857157</v>
      </c>
      <c r="G6" s="15">
        <f t="shared" si="2"/>
        <v>0.34285714285714286</v>
      </c>
      <c r="H6" s="15">
        <f t="shared" si="3"/>
        <v>0.68571428571428572</v>
      </c>
      <c r="I6" s="15">
        <f t="shared" si="4"/>
        <v>1.3714285714285714</v>
      </c>
      <c r="J6" s="20">
        <f t="shared" si="5"/>
        <v>2.7428571428571429</v>
      </c>
    </row>
    <row r="7" spans="1:10">
      <c r="A7" s="18">
        <v>3</v>
      </c>
      <c r="B7" s="15" t="str">
        <f t="shared" si="0"/>
        <v>=3</v>
      </c>
      <c r="C7" s="15">
        <f>COUNTIFS('8.2'!$A$1:$J$7,'R8.2'!B7)</f>
        <v>7</v>
      </c>
      <c r="D7" s="19">
        <f t="shared" si="1"/>
        <v>0.1</v>
      </c>
      <c r="E7" s="15">
        <f t="shared" si="6"/>
        <v>61</v>
      </c>
      <c r="F7" s="15">
        <f t="shared" si="6"/>
        <v>0.87142857142857155</v>
      </c>
      <c r="G7" s="15">
        <f t="shared" si="2"/>
        <v>0.30000000000000004</v>
      </c>
      <c r="H7" s="15">
        <f t="shared" si="3"/>
        <v>0.9</v>
      </c>
      <c r="I7" s="15">
        <f t="shared" si="4"/>
        <v>2.7</v>
      </c>
      <c r="J7" s="20">
        <f t="shared" si="5"/>
        <v>8.1</v>
      </c>
    </row>
    <row r="8" spans="1:10">
      <c r="A8" s="18">
        <v>4</v>
      </c>
      <c r="B8" s="15" t="str">
        <f t="shared" si="0"/>
        <v>=4</v>
      </c>
      <c r="C8" s="15">
        <f>COUNTIFS('8.2'!$A$1:$J$7,'R8.2'!B8)</f>
        <v>5</v>
      </c>
      <c r="D8" s="19">
        <f t="shared" si="1"/>
        <v>7.1428571428571425E-2</v>
      </c>
      <c r="E8" s="15">
        <f t="shared" si="6"/>
        <v>66</v>
      </c>
      <c r="F8" s="15">
        <f t="shared" si="6"/>
        <v>0.94285714285714295</v>
      </c>
      <c r="G8" s="15">
        <f t="shared" si="2"/>
        <v>0.2857142857142857</v>
      </c>
      <c r="H8" s="15">
        <f t="shared" si="3"/>
        <v>1.1428571428571428</v>
      </c>
      <c r="I8" s="15">
        <f t="shared" si="4"/>
        <v>4.5714285714285712</v>
      </c>
      <c r="J8" s="20">
        <f t="shared" si="5"/>
        <v>18.285714285714285</v>
      </c>
    </row>
    <row r="9" spans="1:10">
      <c r="A9" s="18">
        <v>5</v>
      </c>
      <c r="B9" s="15" t="str">
        <f t="shared" si="0"/>
        <v>=5</v>
      </c>
      <c r="C9" s="15">
        <f>COUNTIFS('8.2'!$A$1:$J$7,'R8.2'!B9)</f>
        <v>1</v>
      </c>
      <c r="D9" s="19">
        <f t="shared" si="1"/>
        <v>1.4285714285714285E-2</v>
      </c>
      <c r="E9" s="15">
        <f t="shared" si="6"/>
        <v>67</v>
      </c>
      <c r="F9" s="15">
        <f t="shared" si="6"/>
        <v>0.95714285714285718</v>
      </c>
      <c r="G9" s="15">
        <f t="shared" si="2"/>
        <v>7.1428571428571425E-2</v>
      </c>
      <c r="H9" s="15">
        <f t="shared" si="3"/>
        <v>0.35714285714285715</v>
      </c>
      <c r="I9" s="15">
        <f t="shared" si="4"/>
        <v>1.7857142857142856</v>
      </c>
      <c r="J9" s="20">
        <f t="shared" si="5"/>
        <v>8.9285714285714288</v>
      </c>
    </row>
    <row r="10" spans="1:10">
      <c r="A10" s="18">
        <v>6</v>
      </c>
      <c r="B10" s="15" t="str">
        <f t="shared" si="0"/>
        <v>=6</v>
      </c>
      <c r="C10" s="15">
        <f>COUNTIFS('8.2'!$A$1:$J$7,'R8.2'!B10)</f>
        <v>2</v>
      </c>
      <c r="D10" s="19">
        <f t="shared" si="1"/>
        <v>2.8571428571428571E-2</v>
      </c>
      <c r="E10" s="15">
        <f t="shared" si="6"/>
        <v>69</v>
      </c>
      <c r="F10" s="15">
        <f t="shared" si="6"/>
        <v>0.98571428571428577</v>
      </c>
      <c r="G10" s="15">
        <f t="shared" si="2"/>
        <v>0.17142857142857143</v>
      </c>
      <c r="H10" s="15">
        <f t="shared" si="3"/>
        <v>1.0285714285714285</v>
      </c>
      <c r="I10" s="15">
        <f t="shared" si="4"/>
        <v>6.1714285714285708</v>
      </c>
      <c r="J10" s="20">
        <f t="shared" si="5"/>
        <v>37.028571428571425</v>
      </c>
    </row>
    <row r="11" spans="1:10">
      <c r="A11" s="18">
        <v>8</v>
      </c>
      <c r="B11" s="15" t="str">
        <f t="shared" si="0"/>
        <v>=8</v>
      </c>
      <c r="C11" s="15">
        <f>COUNTIFS('8.2'!$A$1:$J$7,'R8.2'!B11)</f>
        <v>1</v>
      </c>
      <c r="D11" s="19">
        <f t="shared" si="1"/>
        <v>1.4285714285714285E-2</v>
      </c>
      <c r="E11" s="15">
        <f t="shared" si="6"/>
        <v>70</v>
      </c>
      <c r="F11" s="15">
        <f t="shared" si="6"/>
        <v>1</v>
      </c>
      <c r="G11" s="15">
        <f t="shared" si="2"/>
        <v>0.11428571428571428</v>
      </c>
      <c r="H11" s="15">
        <f t="shared" si="3"/>
        <v>0.91428571428571426</v>
      </c>
      <c r="I11" s="15">
        <f t="shared" si="4"/>
        <v>7.3142857142857141</v>
      </c>
      <c r="J11" s="20">
        <f t="shared" si="5"/>
        <v>58.514285714285712</v>
      </c>
    </row>
    <row r="12" spans="1:10" ht="16.2" thickBot="1">
      <c r="A12" s="12" t="s">
        <v>36</v>
      </c>
      <c r="B12" s="21"/>
      <c r="C12" s="21">
        <f>SUM(C4:C11)</f>
        <v>70</v>
      </c>
      <c r="D12" s="21">
        <f>SUM(D4:D11)</f>
        <v>1</v>
      </c>
      <c r="E12" s="16"/>
      <c r="F12" s="21"/>
      <c r="G12" s="21">
        <f>SUM(G4:G11)</f>
        <v>1.4714285714285715</v>
      </c>
      <c r="H12" s="21">
        <f t="shared" ref="H12:J12" si="7">SUM(H4:H11)</f>
        <v>5.2142857142857144</v>
      </c>
      <c r="I12" s="21">
        <f t="shared" si="7"/>
        <v>24.099999999999998</v>
      </c>
      <c r="J12" s="10">
        <f t="shared" si="7"/>
        <v>133.78571428571428</v>
      </c>
    </row>
    <row r="23" spans="1:6">
      <c r="A23" s="7" t="s">
        <v>7</v>
      </c>
      <c r="C23" s="1">
        <f>C12</f>
        <v>70</v>
      </c>
    </row>
    <row r="24" spans="1:6">
      <c r="A24" s="7" t="s">
        <v>34</v>
      </c>
      <c r="C24" s="1">
        <v>1</v>
      </c>
    </row>
    <row r="25" spans="1:6">
      <c r="A25" s="7" t="s">
        <v>35</v>
      </c>
      <c r="C25" s="1">
        <v>0</v>
      </c>
    </row>
    <row r="26" spans="1:6">
      <c r="A26" s="7" t="s">
        <v>21</v>
      </c>
      <c r="C26" s="1">
        <f>G12</f>
        <v>1.4714285714285715</v>
      </c>
    </row>
    <row r="27" spans="1:6">
      <c r="A27" s="7" t="s">
        <v>46</v>
      </c>
      <c r="C27" s="1">
        <f>H12</f>
        <v>5.2142857142857144</v>
      </c>
    </row>
    <row r="28" spans="1:6">
      <c r="A28" s="7" t="s">
        <v>47</v>
      </c>
      <c r="C28" s="1">
        <f>I12</f>
        <v>24.099999999999998</v>
      </c>
    </row>
    <row r="29" spans="1:6">
      <c r="A29" s="7" t="s">
        <v>48</v>
      </c>
      <c r="C29" s="1">
        <f>J12</f>
        <v>133.78571428571428</v>
      </c>
    </row>
    <row r="30" spans="1:6" ht="18.600000000000001">
      <c r="A30" s="7" t="s">
        <v>49</v>
      </c>
      <c r="C30" s="1">
        <f>C27-C26^2</f>
        <v>3.0491836734693876</v>
      </c>
      <c r="E30" s="1" t="s">
        <v>66</v>
      </c>
      <c r="F30" s="1">
        <f>C30*C23/(C23-1)</f>
        <v>3.0933747412008277</v>
      </c>
    </row>
    <row r="31" spans="1:6">
      <c r="A31" s="7" t="s">
        <v>50</v>
      </c>
      <c r="C31" s="1">
        <f>C28-3*C27*C26+2*C26^3</f>
        <v>7.4542390670553926</v>
      </c>
    </row>
    <row r="32" spans="1:6">
      <c r="A32" s="7" t="s">
        <v>26</v>
      </c>
      <c r="C32" s="1">
        <f>C29-4*C28*C26+6*C27*C26^2-3*C26^4</f>
        <v>45.613763306955434</v>
      </c>
    </row>
    <row r="33" spans="1:3">
      <c r="A33" s="7" t="s">
        <v>32</v>
      </c>
      <c r="C33" s="1">
        <f>C31/C30^1.5</f>
        <v>1.3999996865548723</v>
      </c>
    </row>
    <row r="34" spans="1:3">
      <c r="A34" s="7" t="s">
        <v>29</v>
      </c>
      <c r="C34" s="1">
        <f>SQRT(C23*(C23-1))/(C23-2)*C33</f>
        <v>1.4308450029107953</v>
      </c>
    </row>
    <row r="35" spans="1:3">
      <c r="A35" s="7" t="s">
        <v>33</v>
      </c>
      <c r="C35" s="1">
        <f>C32/C30^2-3</f>
        <v>1.9060134353233522</v>
      </c>
    </row>
    <row r="36" spans="1:3">
      <c r="A36" s="7" t="s">
        <v>31</v>
      </c>
      <c r="C36" s="1">
        <f>(C23-1)/((C23-2)*(C23-3))*((C23+1)*C35+6)</f>
        <v>2.1403774845586265</v>
      </c>
    </row>
  </sheetData>
  <pageMargins left="0.70866141732283472" right="0.70866141732283472" top="0.74803149606299213" bottom="0.74803149606299213" header="0.31496062992125984" footer="0.31496062992125984"/>
  <pageSetup paperSize="9" scale="87" orientation="portrait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9"/>
  <sheetViews>
    <sheetView topLeftCell="A22" workbookViewId="0">
      <selection activeCell="D24" sqref="D24"/>
    </sheetView>
  </sheetViews>
  <sheetFormatPr defaultColWidth="9.21875" defaultRowHeight="15.6"/>
  <cols>
    <col min="1" max="1" width="9.21875" style="1"/>
    <col min="2" max="2" width="9.21875" style="1" customWidth="1"/>
    <col min="3" max="8" width="9.21875" style="1"/>
    <col min="9" max="12" width="12.21875" style="1" customWidth="1"/>
    <col min="13" max="16384" width="9.21875" style="1"/>
  </cols>
  <sheetData>
    <row r="1" spans="1:12" ht="30" customHeight="1" thickBot="1">
      <c r="A1" s="36">
        <v>8.3000000000000007</v>
      </c>
      <c r="C1" s="37" t="s">
        <v>90</v>
      </c>
    </row>
    <row r="3" spans="1:12" ht="18">
      <c r="A3" s="1" t="s">
        <v>51</v>
      </c>
      <c r="B3" s="22">
        <f>MIN('8.3'!A1:J10)</f>
        <v>721</v>
      </c>
      <c r="D3" s="1" t="s">
        <v>7</v>
      </c>
      <c r="E3" s="1">
        <f>COUNT('8.3'!A1:J10)</f>
        <v>100</v>
      </c>
    </row>
    <row r="4" spans="1:12" ht="18">
      <c r="A4" s="1" t="s">
        <v>52</v>
      </c>
      <c r="B4" s="22">
        <f>MAX('8.3'!A1:J10)</f>
        <v>764</v>
      </c>
      <c r="D4" s="1" t="s">
        <v>54</v>
      </c>
      <c r="E4" s="1">
        <f>SQRT(E3)</f>
        <v>10</v>
      </c>
    </row>
    <row r="5" spans="1:12" ht="18">
      <c r="A5" s="1" t="s">
        <v>53</v>
      </c>
      <c r="B5" s="22">
        <f>B4-B3</f>
        <v>43</v>
      </c>
      <c r="D5" s="1" t="s">
        <v>56</v>
      </c>
      <c r="E5" s="1">
        <f>B5/E4</f>
        <v>4.3</v>
      </c>
    </row>
    <row r="7" spans="1:12" ht="16.2" thickBot="1"/>
    <row r="8" spans="1:12" ht="19.2">
      <c r="A8" s="23" t="s">
        <v>12</v>
      </c>
      <c r="B8" s="24" t="s">
        <v>57</v>
      </c>
      <c r="C8" s="24" t="s">
        <v>58</v>
      </c>
      <c r="D8" s="14" t="s">
        <v>59</v>
      </c>
      <c r="E8" s="14" t="s">
        <v>37</v>
      </c>
      <c r="F8" s="14" t="s">
        <v>38</v>
      </c>
      <c r="G8" s="14" t="s">
        <v>39</v>
      </c>
      <c r="H8" s="14" t="s">
        <v>40</v>
      </c>
      <c r="I8" s="14" t="s">
        <v>60</v>
      </c>
      <c r="J8" s="14" t="s">
        <v>61</v>
      </c>
      <c r="K8" s="14" t="s">
        <v>62</v>
      </c>
      <c r="L8" s="14" t="s">
        <v>63</v>
      </c>
    </row>
    <row r="9" spans="1:12">
      <c r="A9" s="18">
        <v>1</v>
      </c>
      <c r="B9" s="25">
        <f>B3</f>
        <v>721</v>
      </c>
      <c r="C9" s="25">
        <f>B9+$E$5</f>
        <v>725.3</v>
      </c>
      <c r="D9" s="15">
        <f>(B9+C9)/2</f>
        <v>723.15</v>
      </c>
      <c r="E9" s="15">
        <f t="array" ref="E9:E18">FREQUENCY('8.3'!A1:J10,'R8.3'!C9:C17)</f>
        <v>3</v>
      </c>
      <c r="F9" s="27">
        <f>E9/$E$19</f>
        <v>0.03</v>
      </c>
      <c r="G9" s="15">
        <f>E9</f>
        <v>3</v>
      </c>
      <c r="H9" s="15">
        <f>F9</f>
        <v>0.03</v>
      </c>
      <c r="I9" s="15">
        <f>D9*F9</f>
        <v>21.694499999999998</v>
      </c>
      <c r="J9" s="15">
        <f>(D9-$I$19)^2*F9</f>
        <v>13.264041869999767</v>
      </c>
      <c r="K9" s="15">
        <f>(D9-$I$19)^3*F9</f>
        <v>-278.90300840048263</v>
      </c>
      <c r="L9" s="20">
        <f>(D9-$I$19)^4*F9</f>
        <v>5864.493557636898</v>
      </c>
    </row>
    <row r="10" spans="1:12">
      <c r="A10" s="18">
        <v>2</v>
      </c>
      <c r="B10" s="25">
        <f>C9</f>
        <v>725.3</v>
      </c>
      <c r="C10" s="25">
        <f t="shared" ref="C10:C18" si="0">B10+$E$5</f>
        <v>729.59999999999991</v>
      </c>
      <c r="D10" s="15">
        <f t="shared" ref="D10:D18" si="1">(B10+C10)/2</f>
        <v>727.44999999999993</v>
      </c>
      <c r="E10" s="15">
        <v>4</v>
      </c>
      <c r="F10" s="27">
        <f t="shared" ref="F10:F18" si="2">E10/$E$19</f>
        <v>0.04</v>
      </c>
      <c r="G10" s="15">
        <f>E10+G9</f>
        <v>7</v>
      </c>
      <c r="H10" s="15">
        <f>F10+H9</f>
        <v>7.0000000000000007E-2</v>
      </c>
      <c r="I10" s="15">
        <f t="shared" ref="I10:I18" si="3">D10*F10</f>
        <v>29.097999999999999</v>
      </c>
      <c r="J10" s="15">
        <f t="shared" ref="J10:J18" si="4">(D10-$I$19)^2*F10</f>
        <v>11.191701159999816</v>
      </c>
      <c r="K10" s="15">
        <f t="shared" ref="K10:K18" si="5">(D10-$I$19)^3*F10</f>
        <v>-187.20358530331538</v>
      </c>
      <c r="L10" s="20">
        <f t="shared" ref="L10:L18" si="6">(D10-$I$19)^4*F10</f>
        <v>3131.3543713685308</v>
      </c>
    </row>
    <row r="11" spans="1:12">
      <c r="A11" s="18">
        <v>3</v>
      </c>
      <c r="B11" s="25">
        <f t="shared" ref="B11:B18" si="7">C10</f>
        <v>729.59999999999991</v>
      </c>
      <c r="C11" s="25">
        <f t="shared" si="0"/>
        <v>733.89999999999986</v>
      </c>
      <c r="D11" s="15">
        <f t="shared" si="1"/>
        <v>731.74999999999989</v>
      </c>
      <c r="E11" s="15">
        <v>6</v>
      </c>
      <c r="F11" s="27">
        <f t="shared" si="2"/>
        <v>0.06</v>
      </c>
      <c r="G11" s="15">
        <f t="shared" ref="G11:G18" si="8">E11+G10</f>
        <v>13</v>
      </c>
      <c r="H11" s="15">
        <f t="shared" ref="H11:H18" si="9">F11+H10</f>
        <v>0.13</v>
      </c>
      <c r="I11" s="15">
        <f t="shared" si="3"/>
        <v>43.904999999999994</v>
      </c>
      <c r="J11" s="15">
        <f t="shared" si="4"/>
        <v>9.265819739999861</v>
      </c>
      <c r="K11" s="15">
        <f t="shared" si="5"/>
        <v>-115.14634190897742</v>
      </c>
      <c r="L11" s="20">
        <f t="shared" si="6"/>
        <v>1430.9235909028516</v>
      </c>
    </row>
    <row r="12" spans="1:12">
      <c r="A12" s="18">
        <v>4</v>
      </c>
      <c r="B12" s="25">
        <f t="shared" si="7"/>
        <v>733.89999999999986</v>
      </c>
      <c r="C12" s="25">
        <f t="shared" si="0"/>
        <v>738.19999999999982</v>
      </c>
      <c r="D12" s="15">
        <f t="shared" si="1"/>
        <v>736.04999999999984</v>
      </c>
      <c r="E12" s="15">
        <v>12</v>
      </c>
      <c r="F12" s="27">
        <f t="shared" si="2"/>
        <v>0.12</v>
      </c>
      <c r="G12" s="15">
        <f t="shared" si="8"/>
        <v>25</v>
      </c>
      <c r="H12" s="15">
        <f t="shared" si="9"/>
        <v>0.25</v>
      </c>
      <c r="I12" s="15">
        <f t="shared" si="3"/>
        <v>88.325999999999979</v>
      </c>
      <c r="J12" s="15">
        <f t="shared" si="4"/>
        <v>7.9257754799999081</v>
      </c>
      <c r="K12" s="15">
        <f t="shared" si="5"/>
        <v>-64.412777325958871</v>
      </c>
      <c r="L12" s="20">
        <f t="shared" si="6"/>
        <v>523.4826413280648</v>
      </c>
    </row>
    <row r="13" spans="1:12">
      <c r="A13" s="18">
        <v>5</v>
      </c>
      <c r="B13" s="25">
        <f t="shared" si="7"/>
        <v>738.19999999999982</v>
      </c>
      <c r="C13" s="25">
        <f t="shared" si="0"/>
        <v>742.49999999999977</v>
      </c>
      <c r="D13" s="15">
        <f t="shared" si="1"/>
        <v>740.3499999999998</v>
      </c>
      <c r="E13" s="15">
        <v>14</v>
      </c>
      <c r="F13" s="27">
        <f t="shared" si="2"/>
        <v>0.14000000000000001</v>
      </c>
      <c r="G13" s="15">
        <f t="shared" si="8"/>
        <v>39</v>
      </c>
      <c r="H13" s="15">
        <f t="shared" si="9"/>
        <v>0.39</v>
      </c>
      <c r="I13" s="15">
        <f t="shared" si="3"/>
        <v>103.64899999999999</v>
      </c>
      <c r="J13" s="15">
        <f t="shared" si="4"/>
        <v>2.0504300599999983</v>
      </c>
      <c r="K13" s="15">
        <f t="shared" si="5"/>
        <v>-7.8469958396199901</v>
      </c>
      <c r="L13" s="20">
        <f t="shared" si="6"/>
        <v>30.03045307822569</v>
      </c>
    </row>
    <row r="14" spans="1:12">
      <c r="A14" s="18">
        <v>6</v>
      </c>
      <c r="B14" s="25">
        <f t="shared" si="7"/>
        <v>742.49999999999977</v>
      </c>
      <c r="C14" s="25">
        <f t="shared" si="0"/>
        <v>746.79999999999973</v>
      </c>
      <c r="D14" s="15">
        <f>(B14+C14)/2</f>
        <v>744.64999999999975</v>
      </c>
      <c r="E14" s="15">
        <v>14</v>
      </c>
      <c r="F14" s="27">
        <f t="shared" si="2"/>
        <v>0.14000000000000001</v>
      </c>
      <c r="G14" s="15">
        <f t="shared" si="8"/>
        <v>53</v>
      </c>
      <c r="H14" s="15">
        <f t="shared" si="9"/>
        <v>0.53</v>
      </c>
      <c r="I14" s="15">
        <f t="shared" si="3"/>
        <v>104.25099999999998</v>
      </c>
      <c r="J14" s="15">
        <f t="shared" si="4"/>
        <v>3.1322059999994226E-2</v>
      </c>
      <c r="K14" s="15">
        <f t="shared" si="5"/>
        <v>1.4815334379995901E-2</v>
      </c>
      <c r="L14" s="20">
        <f t="shared" si="6"/>
        <v>7.0076531617374142E-3</v>
      </c>
    </row>
    <row r="15" spans="1:12">
      <c r="A15" s="18">
        <v>7</v>
      </c>
      <c r="B15" s="25">
        <f t="shared" si="7"/>
        <v>746.79999999999973</v>
      </c>
      <c r="C15" s="25">
        <f t="shared" si="0"/>
        <v>751.09999999999968</v>
      </c>
      <c r="D15" s="15">
        <f t="shared" si="1"/>
        <v>748.9499999999997</v>
      </c>
      <c r="E15" s="15">
        <v>25</v>
      </c>
      <c r="F15" s="27">
        <f t="shared" si="2"/>
        <v>0.25</v>
      </c>
      <c r="G15" s="15">
        <f t="shared" si="8"/>
        <v>78</v>
      </c>
      <c r="H15" s="15">
        <f t="shared" si="9"/>
        <v>0.78</v>
      </c>
      <c r="I15" s="15">
        <f t="shared" si="3"/>
        <v>187.23749999999993</v>
      </c>
      <c r="J15" s="15">
        <f t="shared" si="4"/>
        <v>5.6953822499997875</v>
      </c>
      <c r="K15" s="15">
        <f t="shared" si="5"/>
        <v>27.184059479248479</v>
      </c>
      <c r="L15" s="20">
        <f t="shared" si="6"/>
        <v>129.74951589445055</v>
      </c>
    </row>
    <row r="16" spans="1:12">
      <c r="A16" s="18">
        <v>8</v>
      </c>
      <c r="B16" s="25">
        <f t="shared" si="7"/>
        <v>751.09999999999968</v>
      </c>
      <c r="C16" s="25">
        <f t="shared" si="0"/>
        <v>755.39999999999964</v>
      </c>
      <c r="D16" s="15">
        <f t="shared" si="1"/>
        <v>753.24999999999966</v>
      </c>
      <c r="E16" s="15">
        <v>16</v>
      </c>
      <c r="F16" s="27">
        <f t="shared" si="2"/>
        <v>0.16</v>
      </c>
      <c r="G16" s="15">
        <f t="shared" si="8"/>
        <v>94</v>
      </c>
      <c r="H16" s="15">
        <f t="shared" si="9"/>
        <v>0.94000000000000006</v>
      </c>
      <c r="I16" s="15">
        <f t="shared" si="3"/>
        <v>120.51999999999995</v>
      </c>
      <c r="J16" s="15">
        <f t="shared" si="4"/>
        <v>13.171092639999609</v>
      </c>
      <c r="K16" s="15">
        <f t="shared" si="5"/>
        <v>119.50132352271467</v>
      </c>
      <c r="L16" s="20">
        <f t="shared" si="6"/>
        <v>1084.2355083215741</v>
      </c>
    </row>
    <row r="17" spans="1:12">
      <c r="A17" s="18">
        <v>9</v>
      </c>
      <c r="B17" s="25">
        <f t="shared" si="7"/>
        <v>755.39999999999964</v>
      </c>
      <c r="C17" s="25">
        <f t="shared" si="0"/>
        <v>759.69999999999959</v>
      </c>
      <c r="D17" s="15">
        <f t="shared" si="1"/>
        <v>757.54999999999961</v>
      </c>
      <c r="E17" s="15">
        <v>5</v>
      </c>
      <c r="F17" s="27">
        <f t="shared" si="2"/>
        <v>0.05</v>
      </c>
      <c r="G17" s="15">
        <f t="shared" si="8"/>
        <v>99</v>
      </c>
      <c r="H17" s="15">
        <f t="shared" si="9"/>
        <v>0.9900000000000001</v>
      </c>
      <c r="I17" s="15">
        <f t="shared" si="3"/>
        <v>37.877499999999984</v>
      </c>
      <c r="J17" s="15">
        <f t="shared" si="4"/>
        <v>8.9418564499997597</v>
      </c>
      <c r="K17" s="15">
        <f t="shared" si="5"/>
        <v>119.57944630584517</v>
      </c>
      <c r="L17" s="20">
        <f t="shared" si="6"/>
        <v>1599.1359354480458</v>
      </c>
    </row>
    <row r="18" spans="1:12">
      <c r="A18" s="18">
        <v>10</v>
      </c>
      <c r="B18" s="25">
        <f t="shared" si="7"/>
        <v>759.69999999999959</v>
      </c>
      <c r="C18" s="25">
        <f t="shared" si="0"/>
        <v>763.99999999999955</v>
      </c>
      <c r="D18" s="15">
        <f t="shared" si="1"/>
        <v>761.84999999999957</v>
      </c>
      <c r="E18" s="15">
        <v>1</v>
      </c>
      <c r="F18" s="27">
        <f t="shared" si="2"/>
        <v>0.01</v>
      </c>
      <c r="G18" s="15">
        <f t="shared" si="8"/>
        <v>100</v>
      </c>
      <c r="H18" s="15">
        <f t="shared" si="9"/>
        <v>1</v>
      </c>
      <c r="I18" s="15">
        <f t="shared" si="3"/>
        <v>7.6184999999999956</v>
      </c>
      <c r="J18" s="15">
        <f t="shared" si="4"/>
        <v>3.1233492899999202</v>
      </c>
      <c r="K18" s="15">
        <f t="shared" si="5"/>
        <v>55.198952002167893</v>
      </c>
      <c r="L18" s="20">
        <f t="shared" si="6"/>
        <v>975.53107873430065</v>
      </c>
    </row>
    <row r="19" spans="1:12" ht="16.2" thickBot="1">
      <c r="A19" s="26"/>
      <c r="B19" s="16"/>
      <c r="C19" s="16"/>
      <c r="D19" s="21" t="s">
        <v>36</v>
      </c>
      <c r="E19" s="21">
        <f>SUM(E9:E18)</f>
        <v>100</v>
      </c>
      <c r="F19" s="21">
        <f>SUM(F9:F18)</f>
        <v>1</v>
      </c>
      <c r="G19" s="16"/>
      <c r="H19" s="21"/>
      <c r="I19" s="21">
        <f>SUM(I9:I18)</f>
        <v>744.17699999999979</v>
      </c>
      <c r="J19" s="21">
        <f t="shared" ref="J19:L19" si="10">SUM(J9:J18)</f>
        <v>74.660770999998419</v>
      </c>
      <c r="K19" s="21">
        <f t="shared" si="10"/>
        <v>-332.03411213399801</v>
      </c>
      <c r="L19" s="10">
        <f t="shared" si="10"/>
        <v>14768.943660366103</v>
      </c>
    </row>
    <row r="22" spans="1:12">
      <c r="A22" s="7" t="s">
        <v>7</v>
      </c>
      <c r="C22" s="1">
        <f>E19</f>
        <v>100</v>
      </c>
    </row>
    <row r="23" spans="1:12">
      <c r="A23" s="7" t="s">
        <v>34</v>
      </c>
      <c r="C23" s="1">
        <f>B14+(0.5-H13)/F14*E5</f>
        <v>745.87857142857115</v>
      </c>
    </row>
    <row r="24" spans="1:12">
      <c r="A24" s="7" t="s">
        <v>35</v>
      </c>
      <c r="C24" s="1">
        <f>B15+F24/(F24+I24)*E5</f>
        <v>749.16499999999974</v>
      </c>
      <c r="E24" s="1" t="s">
        <v>64</v>
      </c>
      <c r="F24" s="28">
        <f>F15-F14</f>
        <v>0.10999999999999999</v>
      </c>
      <c r="H24" s="1" t="s">
        <v>65</v>
      </c>
      <c r="I24" s="28">
        <f>F15-F16</f>
        <v>0.09</v>
      </c>
    </row>
    <row r="25" spans="1:12">
      <c r="A25" s="7" t="s">
        <v>21</v>
      </c>
      <c r="C25" s="1">
        <f>I19</f>
        <v>744.17699999999979</v>
      </c>
    </row>
    <row r="26" spans="1:12" ht="18.600000000000001">
      <c r="A26" s="7" t="s">
        <v>49</v>
      </c>
      <c r="C26" s="1">
        <f>J19</f>
        <v>74.660770999998419</v>
      </c>
      <c r="E26" s="1" t="s">
        <v>66</v>
      </c>
      <c r="F26" s="1">
        <f>C26*C22/(C22-1)</f>
        <v>75.414920202018607</v>
      </c>
      <c r="H26" s="1" t="s">
        <v>66</v>
      </c>
      <c r="I26" s="1">
        <f>(J19-E5^2/12)*C22/(C22-1)</f>
        <v>73.858522895621292</v>
      </c>
      <c r="J26" s="1" t="s">
        <v>67</v>
      </c>
    </row>
    <row r="27" spans="1:12">
      <c r="A27" s="7" t="s">
        <v>50</v>
      </c>
      <c r="C27" s="1">
        <f>K19</f>
        <v>-332.03411213399801</v>
      </c>
    </row>
    <row r="28" spans="1:12">
      <c r="A28" s="7" t="s">
        <v>26</v>
      </c>
      <c r="C28" s="1">
        <f>L19</f>
        <v>14768.943660366103</v>
      </c>
    </row>
    <row r="29" spans="1:12">
      <c r="A29" s="7" t="s">
        <v>32</v>
      </c>
      <c r="C29" s="1">
        <f>C27/C26^1.5</f>
        <v>-0.51468794740161428</v>
      </c>
    </row>
    <row r="30" spans="1:12">
      <c r="A30" s="7" t="s">
        <v>29</v>
      </c>
      <c r="C30" s="1">
        <f>SQRT(C22*(C22-1))/(C22-2)*C29</f>
        <v>-0.52255922621918272</v>
      </c>
    </row>
    <row r="31" spans="1:12">
      <c r="A31" s="7" t="s">
        <v>33</v>
      </c>
      <c r="C31" s="1">
        <f>C28/C26^2-3</f>
        <v>-0.35049652849019575</v>
      </c>
    </row>
    <row r="32" spans="1:12">
      <c r="A32" s="7" t="s">
        <v>31</v>
      </c>
      <c r="C32" s="1">
        <f>(C22-1)/((C22-2)*(C22-3))*((C22+1)*C31+6)</f>
        <v>-0.30618712269866055</v>
      </c>
    </row>
    <row r="34" spans="1:2">
      <c r="A34" s="29" t="s">
        <v>68</v>
      </c>
    </row>
    <row r="35" spans="1:2">
      <c r="A35" s="7" t="s">
        <v>34</v>
      </c>
      <c r="B35" s="22">
        <f>MEDIAN('8.3'!A1:J10)</f>
        <v>745</v>
      </c>
    </row>
    <row r="36" spans="1:2">
      <c r="A36" s="7" t="s">
        <v>21</v>
      </c>
      <c r="B36" s="22">
        <f>AVERAGE('8.3'!A1:J10)</f>
        <v>744.29</v>
      </c>
    </row>
    <row r="37" spans="1:2" ht="18.600000000000001">
      <c r="A37" s="1" t="s">
        <v>66</v>
      </c>
      <c r="B37" s="1">
        <f>VAR('8.3'!A1:J10)</f>
        <v>77.218080808080856</v>
      </c>
    </row>
    <row r="38" spans="1:2">
      <c r="A38" s="7" t="s">
        <v>29</v>
      </c>
      <c r="B38" s="1">
        <f>SKEW('8.3'!A1:J10)</f>
        <v>-0.48432422019494525</v>
      </c>
    </row>
    <row r="39" spans="1:2">
      <c r="A39" s="7" t="s">
        <v>31</v>
      </c>
      <c r="B39" s="1">
        <f>KURT('8.3'!A1:J10)</f>
        <v>-0.20691647657116885</v>
      </c>
    </row>
  </sheetData>
  <pageMargins left="0.70866141732283472" right="0.70866141732283472" top="0.74803149606299213" bottom="0.74803149606299213" header="0.31496062992125984" footer="0.31496062992125984"/>
  <pageSetup paperSize="9" scale="72" orientation="portrait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4"/>
  <sheetViews>
    <sheetView tabSelected="1" topLeftCell="A22" workbookViewId="0">
      <selection activeCell="K38" sqref="K38"/>
    </sheetView>
  </sheetViews>
  <sheetFormatPr defaultColWidth="9.21875" defaultRowHeight="15.6"/>
  <cols>
    <col min="1" max="1" width="9.21875" style="1"/>
    <col min="2" max="2" width="9.21875" style="1" customWidth="1"/>
    <col min="3" max="7" width="9.21875" style="1"/>
    <col min="8" max="8" width="9.33203125" style="1" bestFit="1" customWidth="1"/>
    <col min="9" max="12" width="12.21875" style="1" customWidth="1"/>
    <col min="13" max="13" width="11.5546875" style="1" bestFit="1" customWidth="1"/>
    <col min="14" max="16384" width="9.21875" style="1"/>
  </cols>
  <sheetData>
    <row r="1" spans="1:13" ht="30" customHeight="1" thickBot="1">
      <c r="A1" s="36">
        <v>8.4</v>
      </c>
      <c r="C1" s="37" t="s">
        <v>91</v>
      </c>
    </row>
    <row r="3" spans="1:13" ht="18">
      <c r="A3" s="1" t="s">
        <v>51</v>
      </c>
      <c r="B3" s="22">
        <f>MIN('8.4'!A1:L5)</f>
        <v>53</v>
      </c>
      <c r="D3" s="1" t="s">
        <v>7</v>
      </c>
      <c r="E3" s="1">
        <f>COUNT('8.4'!A1:L5)</f>
        <v>60</v>
      </c>
    </row>
    <row r="4" spans="1:13" ht="18">
      <c r="A4" s="1" t="s">
        <v>52</v>
      </c>
      <c r="B4" s="22">
        <f>MAX('8.4'!A1:L5)</f>
        <v>95</v>
      </c>
      <c r="D4" s="1" t="s">
        <v>54</v>
      </c>
      <c r="E4" s="1">
        <f>ROUND(SQRT(E3),0)</f>
        <v>8</v>
      </c>
    </row>
    <row r="5" spans="1:13" ht="18">
      <c r="A5" s="1" t="s">
        <v>53</v>
      </c>
      <c r="B5" s="22">
        <f>B4-B3</f>
        <v>42</v>
      </c>
      <c r="D5" s="1" t="s">
        <v>56</v>
      </c>
      <c r="E5" s="1">
        <f>B5/E4</f>
        <v>5.25</v>
      </c>
    </row>
    <row r="7" spans="1:13" ht="16.2" thickBot="1"/>
    <row r="8" spans="1:13" ht="19.2">
      <c r="A8" s="23" t="s">
        <v>12</v>
      </c>
      <c r="B8" s="24" t="s">
        <v>57</v>
      </c>
      <c r="C8" s="24" t="s">
        <v>58</v>
      </c>
      <c r="D8" s="14" t="s">
        <v>59</v>
      </c>
      <c r="E8" s="14" t="s">
        <v>37</v>
      </c>
      <c r="F8" s="14" t="s">
        <v>38</v>
      </c>
      <c r="G8" s="14" t="s">
        <v>39</v>
      </c>
      <c r="H8" s="14" t="s">
        <v>40</v>
      </c>
      <c r="I8" s="14" t="s">
        <v>93</v>
      </c>
      <c r="J8" s="14" t="s">
        <v>60</v>
      </c>
      <c r="K8" s="14" t="s">
        <v>61</v>
      </c>
      <c r="L8" s="14" t="s">
        <v>62</v>
      </c>
      <c r="M8" s="14" t="s">
        <v>63</v>
      </c>
    </row>
    <row r="9" spans="1:13">
      <c r="A9" s="18">
        <v>1</v>
      </c>
      <c r="B9" s="27">
        <f>B3</f>
        <v>53</v>
      </c>
      <c r="C9" s="27">
        <f>B9+$E$5</f>
        <v>58.25</v>
      </c>
      <c r="D9" s="30">
        <f>(B9+C9)/2</f>
        <v>55.625</v>
      </c>
      <c r="E9" s="15">
        <f t="array" ref="E9:E18">FREQUENCY('8.4'!A1:L5,'R8.4'!C9:C17)</f>
        <v>3</v>
      </c>
      <c r="F9" s="30">
        <f>E9/$E$19</f>
        <v>0.05</v>
      </c>
      <c r="G9" s="15">
        <f>E9</f>
        <v>3</v>
      </c>
      <c r="H9" s="30">
        <f>F9</f>
        <v>0.05</v>
      </c>
      <c r="I9" s="30">
        <f>E9*D9</f>
        <v>166.875</v>
      </c>
      <c r="J9" s="30">
        <f>D9*F9</f>
        <v>2.78125</v>
      </c>
      <c r="K9" s="30">
        <f>(D9-$J$19)^2*F9</f>
        <v>15.3125</v>
      </c>
      <c r="L9" s="30">
        <f>(D9-$J$19)^3*F9</f>
        <v>-267.96875</v>
      </c>
      <c r="M9" s="45">
        <f>(D9-$J$19)^4*F9</f>
        <v>4689.453125</v>
      </c>
    </row>
    <row r="10" spans="1:13">
      <c r="A10" s="18">
        <v>2</v>
      </c>
      <c r="B10" s="27">
        <f>C9</f>
        <v>58.25</v>
      </c>
      <c r="C10" s="27">
        <f t="shared" ref="C10:C18" si="0">B10+$E$5</f>
        <v>63.5</v>
      </c>
      <c r="D10" s="30">
        <f t="shared" ref="D10:D18" si="1">(B10+C10)/2</f>
        <v>60.875</v>
      </c>
      <c r="E10" s="15">
        <v>10</v>
      </c>
      <c r="F10" s="30">
        <f t="shared" ref="F10:F18" si="2">E10/$E$19</f>
        <v>0.16666666666666666</v>
      </c>
      <c r="G10" s="15">
        <f>E10+G9</f>
        <v>13</v>
      </c>
      <c r="H10" s="30">
        <f>F10+H9</f>
        <v>0.21666666666666667</v>
      </c>
      <c r="I10" s="30">
        <f>E10*D10</f>
        <v>608.75</v>
      </c>
      <c r="J10" s="30">
        <f>D10*F10</f>
        <v>10.145833333333332</v>
      </c>
      <c r="K10" s="30">
        <f>(D10-$J$19)^2*F10</f>
        <v>25.010416666666664</v>
      </c>
      <c r="L10" s="30">
        <f>(D10-$J$19)^3*F10</f>
        <v>-306.37760416666663</v>
      </c>
      <c r="M10" s="45">
        <f>(D10-$J$19)^4*F10</f>
        <v>3753.1256510416665</v>
      </c>
    </row>
    <row r="11" spans="1:13">
      <c r="A11" s="18">
        <v>3</v>
      </c>
      <c r="B11" s="27">
        <f t="shared" ref="B11:B18" si="3">C10</f>
        <v>63.5</v>
      </c>
      <c r="C11" s="27">
        <f t="shared" si="0"/>
        <v>68.75</v>
      </c>
      <c r="D11" s="30">
        <f t="shared" si="1"/>
        <v>66.125</v>
      </c>
      <c r="E11" s="15">
        <v>8</v>
      </c>
      <c r="F11" s="30">
        <f t="shared" si="2"/>
        <v>0.13333333333333333</v>
      </c>
      <c r="G11" s="15">
        <f t="shared" ref="G11:H18" si="4">E11+G10</f>
        <v>21</v>
      </c>
      <c r="H11" s="30">
        <f t="shared" ref="H11:H17" si="5">F11+H10</f>
        <v>0.35</v>
      </c>
      <c r="I11" s="30">
        <f t="shared" ref="I11:I16" si="6">E11*D11</f>
        <v>529</v>
      </c>
      <c r="J11" s="30">
        <f>D11*F11</f>
        <v>8.8166666666666664</v>
      </c>
      <c r="K11" s="30">
        <f>(D11-$J$19)^2*F11</f>
        <v>6.5333333333333332</v>
      </c>
      <c r="L11" s="30">
        <f>(D11-$J$19)^3*F11</f>
        <v>-45.733333333333334</v>
      </c>
      <c r="M11" s="45">
        <f>(D11-$J$19)^4*F11</f>
        <v>320.13333333333333</v>
      </c>
    </row>
    <row r="12" spans="1:13">
      <c r="A12" s="18">
        <v>4</v>
      </c>
      <c r="B12" s="42">
        <f t="shared" si="3"/>
        <v>68.75</v>
      </c>
      <c r="C12" s="42">
        <f t="shared" si="0"/>
        <v>74</v>
      </c>
      <c r="D12" s="48">
        <f t="shared" si="1"/>
        <v>71.375</v>
      </c>
      <c r="E12" s="44">
        <v>13</v>
      </c>
      <c r="F12" s="30">
        <f t="shared" si="2"/>
        <v>0.21666666666666667</v>
      </c>
      <c r="G12" s="15">
        <f t="shared" si="4"/>
        <v>34</v>
      </c>
      <c r="H12" s="30">
        <f t="shared" si="5"/>
        <v>0.56666666666666665</v>
      </c>
      <c r="I12" s="30">
        <f t="shared" si="6"/>
        <v>927.875</v>
      </c>
      <c r="J12" s="30">
        <f>D12*F12</f>
        <v>15.464583333333334</v>
      </c>
      <c r="K12" s="30">
        <f>(D12-$J$19)^2*F12</f>
        <v>0.6635416666666667</v>
      </c>
      <c r="L12" s="30">
        <f>(D12-$J$19)^3*F12</f>
        <v>-1.1611979166666666</v>
      </c>
      <c r="M12" s="45">
        <f>(D12-$J$19)^4*F12</f>
        <v>2.0320963541666668</v>
      </c>
    </row>
    <row r="13" spans="1:13">
      <c r="A13" s="18">
        <v>5</v>
      </c>
      <c r="B13" s="43">
        <f t="shared" si="3"/>
        <v>74</v>
      </c>
      <c r="C13" s="43">
        <f t="shared" si="0"/>
        <v>79.25</v>
      </c>
      <c r="D13" s="48">
        <f t="shared" si="1"/>
        <v>76.625</v>
      </c>
      <c r="E13" s="15">
        <v>10</v>
      </c>
      <c r="F13" s="30">
        <f t="shared" si="2"/>
        <v>0.16666666666666666</v>
      </c>
      <c r="G13" s="15">
        <f t="shared" si="4"/>
        <v>44</v>
      </c>
      <c r="H13" s="30">
        <f t="shared" si="5"/>
        <v>0.73333333333333328</v>
      </c>
      <c r="I13" s="30">
        <f t="shared" si="6"/>
        <v>766.25</v>
      </c>
      <c r="J13" s="30">
        <f>D13*F13</f>
        <v>12.770833333333332</v>
      </c>
      <c r="K13" s="30">
        <f>(D13-$J$19)^2*F13</f>
        <v>2.0416666666666665</v>
      </c>
      <c r="L13" s="30">
        <f>(D13-$J$19)^3*F13</f>
        <v>7.145833333333333</v>
      </c>
      <c r="M13" s="45">
        <f>(D13-$J$19)^4*F13</f>
        <v>25.010416666666664</v>
      </c>
    </row>
    <row r="14" spans="1:13">
      <c r="A14" s="18">
        <v>6</v>
      </c>
      <c r="B14" s="27">
        <f t="shared" si="3"/>
        <v>79.25</v>
      </c>
      <c r="C14" s="27">
        <f t="shared" si="0"/>
        <v>84.5</v>
      </c>
      <c r="D14" s="30">
        <f>(B14+C14)/2</f>
        <v>81.875</v>
      </c>
      <c r="E14" s="15">
        <v>6</v>
      </c>
      <c r="F14" s="30">
        <f t="shared" si="2"/>
        <v>0.1</v>
      </c>
      <c r="G14" s="15">
        <f t="shared" si="4"/>
        <v>50</v>
      </c>
      <c r="H14" s="30">
        <f t="shared" si="5"/>
        <v>0.83333333333333326</v>
      </c>
      <c r="I14" s="30">
        <f t="shared" si="6"/>
        <v>491.25</v>
      </c>
      <c r="J14" s="30">
        <f>D14*F14</f>
        <v>8.1875</v>
      </c>
      <c r="K14" s="30">
        <f>(D14-$J$19)^2*F14</f>
        <v>7.65625</v>
      </c>
      <c r="L14" s="30">
        <f>(D14-$J$19)^3*F14</f>
        <v>66.9921875</v>
      </c>
      <c r="M14" s="45">
        <f>(D14-$J$19)^4*F14</f>
        <v>586.181640625</v>
      </c>
    </row>
    <row r="15" spans="1:13">
      <c r="A15" s="18">
        <v>7</v>
      </c>
      <c r="B15" s="27">
        <f t="shared" si="3"/>
        <v>84.5</v>
      </c>
      <c r="C15" s="27">
        <f t="shared" si="0"/>
        <v>89.75</v>
      </c>
      <c r="D15" s="30">
        <f t="shared" si="1"/>
        <v>87.125</v>
      </c>
      <c r="E15" s="15">
        <v>5</v>
      </c>
      <c r="F15" s="30">
        <f t="shared" si="2"/>
        <v>8.3333333333333329E-2</v>
      </c>
      <c r="G15" s="15">
        <f t="shared" si="4"/>
        <v>55</v>
      </c>
      <c r="H15" s="30">
        <f t="shared" si="5"/>
        <v>0.91666666666666663</v>
      </c>
      <c r="I15" s="30">
        <f t="shared" si="6"/>
        <v>435.625</v>
      </c>
      <c r="J15" s="30">
        <f>D15*F15</f>
        <v>7.2604166666666661</v>
      </c>
      <c r="K15" s="30">
        <f>(D15-$J$19)^2*F15</f>
        <v>16.333333333333332</v>
      </c>
      <c r="L15" s="30">
        <f>(D15-$J$19)^3*F15</f>
        <v>228.66666666666666</v>
      </c>
      <c r="M15" s="45">
        <f>(D15-$J$19)^4*F15</f>
        <v>3201.333333333333</v>
      </c>
    </row>
    <row r="16" spans="1:13">
      <c r="A16" s="18">
        <v>8</v>
      </c>
      <c r="B16" s="27">
        <f t="shared" si="3"/>
        <v>89.75</v>
      </c>
      <c r="C16" s="27">
        <f t="shared" si="0"/>
        <v>95</v>
      </c>
      <c r="D16" s="30">
        <f t="shared" si="1"/>
        <v>92.375</v>
      </c>
      <c r="E16" s="15">
        <v>5</v>
      </c>
      <c r="F16" s="30">
        <f t="shared" si="2"/>
        <v>8.3333333333333329E-2</v>
      </c>
      <c r="G16" s="15">
        <f t="shared" si="4"/>
        <v>60</v>
      </c>
      <c r="H16" s="30">
        <f t="shared" si="5"/>
        <v>1</v>
      </c>
      <c r="I16" s="30">
        <f t="shared" si="6"/>
        <v>461.875</v>
      </c>
      <c r="J16" s="30">
        <f>D16*F16</f>
        <v>7.6979166666666661</v>
      </c>
      <c r="K16" s="30">
        <f>(D16-$J$19)^2*F16</f>
        <v>30.880208333333332</v>
      </c>
      <c r="L16" s="30">
        <f>(D16-$J$19)^3*F16</f>
        <v>594.44401041666663</v>
      </c>
      <c r="M16" s="45">
        <f>(D16-$J$19)^4*F16</f>
        <v>11443.047200520832</v>
      </c>
    </row>
    <row r="17" spans="1:13" hidden="1">
      <c r="A17" s="18">
        <v>9</v>
      </c>
      <c r="B17" s="25">
        <f t="shared" si="3"/>
        <v>95</v>
      </c>
      <c r="C17" s="25">
        <f t="shared" si="0"/>
        <v>100.25</v>
      </c>
      <c r="D17" s="15">
        <f t="shared" si="1"/>
        <v>97.625</v>
      </c>
      <c r="E17" s="15">
        <v>0</v>
      </c>
      <c r="F17" s="27">
        <f t="shared" si="2"/>
        <v>0</v>
      </c>
      <c r="G17" s="15">
        <f t="shared" si="4"/>
        <v>60</v>
      </c>
      <c r="H17" s="30">
        <f t="shared" si="5"/>
        <v>1</v>
      </c>
      <c r="I17" s="30"/>
      <c r="J17" s="30">
        <f>D17*F17</f>
        <v>0</v>
      </c>
      <c r="K17" s="30">
        <f>(D17-$J$19)^2*F17</f>
        <v>0</v>
      </c>
      <c r="L17" s="30">
        <f>(D17-$J$19)^3*F17</f>
        <v>0</v>
      </c>
      <c r="M17" s="45">
        <f>(D17-$J$19)^4*F17</f>
        <v>0</v>
      </c>
    </row>
    <row r="18" spans="1:13" hidden="1">
      <c r="A18" s="18">
        <v>10</v>
      </c>
      <c r="B18" s="25">
        <f t="shared" si="3"/>
        <v>100.25</v>
      </c>
      <c r="C18" s="25">
        <f t="shared" si="0"/>
        <v>105.5</v>
      </c>
      <c r="D18" s="15">
        <f t="shared" si="1"/>
        <v>102.875</v>
      </c>
      <c r="E18" s="15">
        <v>0</v>
      </c>
      <c r="F18" s="27">
        <f t="shared" si="2"/>
        <v>0</v>
      </c>
      <c r="G18" s="15">
        <f t="shared" si="4"/>
        <v>60</v>
      </c>
      <c r="H18" s="30">
        <f t="shared" si="4"/>
        <v>1</v>
      </c>
      <c r="I18" s="30"/>
      <c r="J18" s="30">
        <f>D18*F18</f>
        <v>0</v>
      </c>
      <c r="K18" s="30">
        <f>(D18-$J$19)^2*F18</f>
        <v>0</v>
      </c>
      <c r="L18" s="30">
        <f>(D18-$J$19)^3*F18</f>
        <v>0</v>
      </c>
      <c r="M18" s="45">
        <f>(D18-$J$19)^4*F18</f>
        <v>0</v>
      </c>
    </row>
    <row r="19" spans="1:13" ht="16.2" thickBot="1">
      <c r="A19" s="26"/>
      <c r="B19" s="16"/>
      <c r="C19" s="16"/>
      <c r="D19" s="21" t="s">
        <v>36</v>
      </c>
      <c r="E19" s="21">
        <f>SUM(E9:E18)</f>
        <v>60</v>
      </c>
      <c r="F19" s="21">
        <f>SUM(F9:F18)</f>
        <v>1</v>
      </c>
      <c r="G19" s="16"/>
      <c r="H19" s="46"/>
      <c r="I19" s="46">
        <f>SUM(I9:I16)</f>
        <v>4387.5</v>
      </c>
      <c r="J19" s="46">
        <f>SUM(J9:J18)</f>
        <v>73.125</v>
      </c>
      <c r="K19" s="46">
        <f t="shared" ref="K19:M19" si="7">SUM(K9:K18)</f>
        <v>104.43124999999999</v>
      </c>
      <c r="L19" s="46">
        <f t="shared" si="7"/>
        <v>276.0078125</v>
      </c>
      <c r="M19" s="47">
        <f t="shared" si="7"/>
        <v>24020.316796874999</v>
      </c>
    </row>
    <row r="30" spans="1:13">
      <c r="A30" s="7" t="s">
        <v>7</v>
      </c>
      <c r="C30" s="1">
        <f>E19</f>
        <v>60</v>
      </c>
    </row>
    <row r="31" spans="1:13">
      <c r="A31" s="6" t="s">
        <v>18</v>
      </c>
      <c r="B31" s="1" t="s">
        <v>82</v>
      </c>
      <c r="C31" s="1">
        <f>B12+(0.5-H11)/F12*E5</f>
        <v>72.384615384615387</v>
      </c>
    </row>
    <row r="32" spans="1:13">
      <c r="A32" s="6" t="s">
        <v>19</v>
      </c>
      <c r="B32" s="1" t="s">
        <v>35</v>
      </c>
      <c r="C32" s="1">
        <f>B12+F32/(F32+I32)*E5</f>
        <v>72.03125</v>
      </c>
      <c r="E32" s="1" t="s">
        <v>64</v>
      </c>
      <c r="F32" s="28">
        <f>F12-F11</f>
        <v>8.3333333333333343E-2</v>
      </c>
      <c r="H32" s="1" t="s">
        <v>65</v>
      </c>
      <c r="I32" s="28">
        <f>F12-F13</f>
        <v>5.0000000000000017E-2</v>
      </c>
    </row>
    <row r="33" spans="1:8">
      <c r="A33" s="6" t="s">
        <v>6</v>
      </c>
      <c r="B33" s="1" t="s">
        <v>92</v>
      </c>
      <c r="C33" s="1">
        <f>J19</f>
        <v>73.125</v>
      </c>
    </row>
    <row r="34" spans="1:8" ht="18.600000000000001">
      <c r="A34" s="6" t="s">
        <v>69</v>
      </c>
      <c r="C34" s="1">
        <f>K19</f>
        <v>104.43124999999999</v>
      </c>
      <c r="E34" s="6" t="s">
        <v>69</v>
      </c>
      <c r="F34" s="1">
        <f>C34-E5^2/12</f>
        <v>102.13437499999999</v>
      </c>
      <c r="G34" s="29" t="s">
        <v>67</v>
      </c>
    </row>
    <row r="35" spans="1:8" ht="18.600000000000001">
      <c r="A35" s="6" t="s">
        <v>70</v>
      </c>
      <c r="C35" s="1">
        <f>L19</f>
        <v>276.0078125</v>
      </c>
    </row>
    <row r="36" spans="1:8" ht="18.600000000000001">
      <c r="A36" s="6" t="s">
        <v>71</v>
      </c>
      <c r="C36" s="1">
        <f>M19</f>
        <v>24020.316796874999</v>
      </c>
    </row>
    <row r="37" spans="1:8">
      <c r="A37" s="6" t="s">
        <v>11</v>
      </c>
      <c r="C37" s="1">
        <f>C35/C34^1.5</f>
        <v>0.25862807097077128</v>
      </c>
    </row>
    <row r="38" spans="1:8">
      <c r="A38" s="6" t="s">
        <v>12</v>
      </c>
      <c r="C38" s="1">
        <f>C36/C34^2-3</f>
        <v>-0.79749056165667609</v>
      </c>
      <c r="H38" s="41"/>
    </row>
    <row r="40" spans="1:8">
      <c r="A40" s="29" t="s">
        <v>68</v>
      </c>
    </row>
    <row r="41" spans="1:8">
      <c r="A41" s="7" t="s">
        <v>21</v>
      </c>
      <c r="B41" s="22">
        <f>AVERAGE('8.4'!A1:L5)</f>
        <v>73.416666666666671</v>
      </c>
    </row>
    <row r="42" spans="1:8" ht="18.600000000000001">
      <c r="A42" s="1" t="s">
        <v>66</v>
      </c>
      <c r="B42" s="1">
        <f>VARP('8.4'!A1:L5)</f>
        <v>108.44305555555556</v>
      </c>
    </row>
    <row r="43" spans="1:8">
      <c r="A43" s="7"/>
    </row>
    <row r="44" spans="1:8">
      <c r="A44" s="7"/>
    </row>
  </sheetData>
  <pageMargins left="0.70866141732283472" right="0.70866141732283472" top="0.74803149606299213" bottom="0.74803149606299213" header="0.31496062992125984" footer="0.31496062992125984"/>
  <pageSetup paperSize="9" scale="67" orientation="portrait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21"/>
  <sheetViews>
    <sheetView workbookViewId="0">
      <selection activeCell="E19" sqref="E19"/>
    </sheetView>
  </sheetViews>
  <sheetFormatPr defaultColWidth="9.21875" defaultRowHeight="15.6"/>
  <cols>
    <col min="1" max="1" width="9.21875" style="1"/>
    <col min="2" max="2" width="0" style="1" hidden="1" customWidth="1"/>
    <col min="3" max="16384" width="9.21875" style="1"/>
  </cols>
  <sheetData>
    <row r="1" spans="1:8" ht="30" customHeight="1" thickBot="1">
      <c r="A1" s="36">
        <v>8.5</v>
      </c>
      <c r="D1" s="37" t="s">
        <v>91</v>
      </c>
    </row>
    <row r="2" spans="1:8" ht="30" customHeight="1" thickBot="1">
      <c r="A2" s="38" t="s">
        <v>0</v>
      </c>
      <c r="C2" s="37"/>
    </row>
    <row r="3" spans="1:8" ht="19.2">
      <c r="A3" s="13" t="s">
        <v>41</v>
      </c>
      <c r="B3" s="14"/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42</v>
      </c>
      <c r="H3" s="17" t="s">
        <v>43</v>
      </c>
    </row>
    <row r="4" spans="1:8" hidden="1">
      <c r="A4" s="18">
        <v>17</v>
      </c>
      <c r="B4" s="15" t="str">
        <f>CONCATENATE("=",A4)</f>
        <v>=17</v>
      </c>
      <c r="C4" s="15">
        <v>0</v>
      </c>
      <c r="D4" s="19">
        <f>C4/$C$15</f>
        <v>0</v>
      </c>
      <c r="E4" s="15">
        <f>C4</f>
        <v>0</v>
      </c>
      <c r="F4" s="15">
        <f>D4</f>
        <v>0</v>
      </c>
      <c r="G4" s="15">
        <f>A4*D4</f>
        <v>0</v>
      </c>
      <c r="H4" s="20">
        <f>A4^2*D4</f>
        <v>0</v>
      </c>
    </row>
    <row r="5" spans="1:8">
      <c r="A5" s="18">
        <v>18</v>
      </c>
      <c r="B5" s="15" t="str">
        <f t="shared" ref="B5:B14" si="0">CONCATENATE("=",A5)</f>
        <v>=18</v>
      </c>
      <c r="C5" s="15">
        <v>4</v>
      </c>
      <c r="D5" s="19">
        <f t="shared" ref="D5:D14" si="1">C5/$C$15</f>
        <v>9.0909090909090912E-2</v>
      </c>
      <c r="E5" s="15">
        <f>C5+E4</f>
        <v>4</v>
      </c>
      <c r="F5" s="15">
        <f>D5+F4</f>
        <v>9.0909090909090912E-2</v>
      </c>
      <c r="G5" s="15">
        <f t="shared" ref="G5:G14" si="2">A5*D5</f>
        <v>1.6363636363636365</v>
      </c>
      <c r="H5" s="20">
        <f t="shared" ref="H5:H14" si="3">A5^2*D5</f>
        <v>29.454545454545457</v>
      </c>
    </row>
    <row r="6" spans="1:8">
      <c r="A6" s="18">
        <v>19</v>
      </c>
      <c r="B6" s="15" t="str">
        <f t="shared" si="0"/>
        <v>=19</v>
      </c>
      <c r="C6" s="15">
        <v>4</v>
      </c>
      <c r="D6" s="19">
        <f t="shared" si="1"/>
        <v>9.0909090909090912E-2</v>
      </c>
      <c r="E6" s="15">
        <f t="shared" ref="E6:F14" si="4">C6+E5</f>
        <v>8</v>
      </c>
      <c r="F6" s="15">
        <f t="shared" si="4"/>
        <v>0.18181818181818182</v>
      </c>
      <c r="G6" s="15">
        <f t="shared" si="2"/>
        <v>1.7272727272727273</v>
      </c>
      <c r="H6" s="20">
        <f t="shared" si="3"/>
        <v>32.81818181818182</v>
      </c>
    </row>
    <row r="7" spans="1:8">
      <c r="A7" s="18">
        <v>20</v>
      </c>
      <c r="B7" s="15" t="str">
        <f t="shared" si="0"/>
        <v>=20</v>
      </c>
      <c r="C7" s="15">
        <v>6</v>
      </c>
      <c r="D7" s="19">
        <f t="shared" si="1"/>
        <v>0.13636363636363635</v>
      </c>
      <c r="E7" s="15">
        <f t="shared" si="4"/>
        <v>14</v>
      </c>
      <c r="F7" s="15">
        <f t="shared" si="4"/>
        <v>0.31818181818181818</v>
      </c>
      <c r="G7" s="15">
        <f t="shared" si="2"/>
        <v>2.7272727272727271</v>
      </c>
      <c r="H7" s="20">
        <f t="shared" si="3"/>
        <v>54.54545454545454</v>
      </c>
    </row>
    <row r="8" spans="1:8">
      <c r="A8" s="18">
        <v>21</v>
      </c>
      <c r="B8" s="15" t="str">
        <f t="shared" si="0"/>
        <v>=21</v>
      </c>
      <c r="C8" s="15">
        <v>12</v>
      </c>
      <c r="D8" s="19">
        <f t="shared" si="1"/>
        <v>0.27272727272727271</v>
      </c>
      <c r="E8" s="15">
        <f t="shared" si="4"/>
        <v>26</v>
      </c>
      <c r="F8" s="15">
        <f t="shared" si="4"/>
        <v>0.59090909090909083</v>
      </c>
      <c r="G8" s="15">
        <f t="shared" si="2"/>
        <v>5.7272727272727266</v>
      </c>
      <c r="H8" s="20">
        <f t="shared" si="3"/>
        <v>120.27272727272727</v>
      </c>
    </row>
    <row r="9" spans="1:8">
      <c r="A9" s="18">
        <v>22</v>
      </c>
      <c r="B9" s="15"/>
      <c r="C9" s="15">
        <v>10</v>
      </c>
      <c r="D9" s="19">
        <f t="shared" si="1"/>
        <v>0.22727272727272727</v>
      </c>
      <c r="E9" s="15">
        <f t="shared" si="4"/>
        <v>36</v>
      </c>
      <c r="F9" s="15">
        <f t="shared" si="4"/>
        <v>0.81818181818181812</v>
      </c>
      <c r="G9" s="15">
        <f t="shared" si="2"/>
        <v>5</v>
      </c>
      <c r="H9" s="20">
        <f t="shared" si="3"/>
        <v>110</v>
      </c>
    </row>
    <row r="10" spans="1:8">
      <c r="A10" s="18">
        <v>23</v>
      </c>
      <c r="B10" s="15"/>
      <c r="C10" s="15">
        <v>8</v>
      </c>
      <c r="D10" s="19">
        <f t="shared" si="1"/>
        <v>0.18181818181818182</v>
      </c>
      <c r="E10" s="15">
        <f t="shared" si="4"/>
        <v>44</v>
      </c>
      <c r="F10" s="15">
        <f t="shared" si="4"/>
        <v>1</v>
      </c>
      <c r="G10" s="15">
        <f t="shared" si="2"/>
        <v>4.1818181818181817</v>
      </c>
      <c r="H10" s="20">
        <f t="shared" si="3"/>
        <v>96.181818181818187</v>
      </c>
    </row>
    <row r="11" spans="1:8" hidden="1">
      <c r="A11" s="18">
        <v>24</v>
      </c>
      <c r="B11" s="15"/>
      <c r="C11" s="15">
        <v>0</v>
      </c>
      <c r="D11" s="19">
        <f t="shared" si="1"/>
        <v>0</v>
      </c>
      <c r="E11" s="15">
        <f t="shared" si="4"/>
        <v>44</v>
      </c>
      <c r="F11" s="15">
        <f t="shared" si="4"/>
        <v>1</v>
      </c>
      <c r="G11" s="15">
        <f t="shared" si="2"/>
        <v>0</v>
      </c>
      <c r="H11" s="20">
        <f t="shared" si="3"/>
        <v>0</v>
      </c>
    </row>
    <row r="12" spans="1:8" hidden="1">
      <c r="A12" s="18">
        <v>25</v>
      </c>
      <c r="B12" s="15" t="str">
        <f t="shared" si="0"/>
        <v>=25</v>
      </c>
      <c r="C12" s="15">
        <v>0</v>
      </c>
      <c r="D12" s="19">
        <f t="shared" si="1"/>
        <v>0</v>
      </c>
      <c r="E12" s="15">
        <f t="shared" si="4"/>
        <v>44</v>
      </c>
      <c r="F12" s="15">
        <f t="shared" si="4"/>
        <v>1</v>
      </c>
      <c r="G12" s="15">
        <f t="shared" si="2"/>
        <v>0</v>
      </c>
      <c r="H12" s="20">
        <f t="shared" si="3"/>
        <v>0</v>
      </c>
    </row>
    <row r="13" spans="1:8" hidden="1">
      <c r="A13" s="18">
        <v>26</v>
      </c>
      <c r="B13" s="15" t="str">
        <f t="shared" si="0"/>
        <v>=26</v>
      </c>
      <c r="C13" s="15">
        <v>0</v>
      </c>
      <c r="D13" s="19">
        <f t="shared" si="1"/>
        <v>0</v>
      </c>
      <c r="E13" s="15">
        <f t="shared" si="4"/>
        <v>44</v>
      </c>
      <c r="F13" s="15">
        <f t="shared" si="4"/>
        <v>1</v>
      </c>
      <c r="G13" s="15">
        <f t="shared" si="2"/>
        <v>0</v>
      </c>
      <c r="H13" s="20">
        <f t="shared" si="3"/>
        <v>0</v>
      </c>
    </row>
    <row r="14" spans="1:8" hidden="1">
      <c r="A14" s="18">
        <v>27</v>
      </c>
      <c r="B14" s="15" t="str">
        <f t="shared" si="0"/>
        <v>=27</v>
      </c>
      <c r="C14" s="15">
        <v>0</v>
      </c>
      <c r="D14" s="19">
        <f t="shared" si="1"/>
        <v>0</v>
      </c>
      <c r="E14" s="15">
        <f t="shared" si="4"/>
        <v>44</v>
      </c>
      <c r="F14" s="15">
        <f t="shared" si="4"/>
        <v>1</v>
      </c>
      <c r="G14" s="15">
        <f t="shared" si="2"/>
        <v>0</v>
      </c>
      <c r="H14" s="20">
        <f t="shared" si="3"/>
        <v>0</v>
      </c>
    </row>
    <row r="15" spans="1:8" ht="16.2" thickBot="1">
      <c r="A15" s="12" t="s">
        <v>36</v>
      </c>
      <c r="B15" s="21"/>
      <c r="C15" s="21">
        <f>SUM(C4:C14)</f>
        <v>44</v>
      </c>
      <c r="D15" s="21">
        <f>SUM(D4:D14)</f>
        <v>1</v>
      </c>
      <c r="E15" s="16"/>
      <c r="F15" s="21"/>
      <c r="G15" s="21">
        <f>SUM(G4:G14)</f>
        <v>21</v>
      </c>
      <c r="H15" s="10">
        <f t="shared" ref="H15" si="5">SUM(H4:H14)</f>
        <v>443.27272727272725</v>
      </c>
    </row>
    <row r="17" spans="1:3">
      <c r="A17" s="7" t="s">
        <v>7</v>
      </c>
      <c r="C17" s="1">
        <f>C15</f>
        <v>44</v>
      </c>
    </row>
    <row r="18" spans="1:3">
      <c r="A18" s="6" t="s">
        <v>18</v>
      </c>
      <c r="C18" s="1">
        <v>20</v>
      </c>
    </row>
    <row r="19" spans="1:3">
      <c r="A19" s="6" t="s">
        <v>19</v>
      </c>
      <c r="C19" s="1">
        <v>21</v>
      </c>
    </row>
    <row r="20" spans="1:3">
      <c r="A20" s="6" t="s">
        <v>6</v>
      </c>
      <c r="C20" s="1">
        <f>G15</f>
        <v>21</v>
      </c>
    </row>
    <row r="21" spans="1:3">
      <c r="A21" s="6" t="s">
        <v>72</v>
      </c>
      <c r="C21" s="1">
        <f>H15-C20^2</f>
        <v>2.2727272727272521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1"/>
  <sheetViews>
    <sheetView workbookViewId="0">
      <selection activeCell="E19" sqref="E19"/>
    </sheetView>
  </sheetViews>
  <sheetFormatPr defaultColWidth="9.21875" defaultRowHeight="15.6"/>
  <cols>
    <col min="1" max="1" width="9.21875" style="1"/>
    <col min="2" max="2" width="0" style="1" hidden="1" customWidth="1"/>
    <col min="3" max="16384" width="9.21875" style="1"/>
  </cols>
  <sheetData>
    <row r="1" spans="1:8" ht="30" customHeight="1" thickBot="1">
      <c r="A1" s="36">
        <v>8.5</v>
      </c>
      <c r="D1" s="37" t="s">
        <v>91</v>
      </c>
    </row>
    <row r="2" spans="1:8" ht="30" customHeight="1" thickBot="1">
      <c r="A2" s="38" t="s">
        <v>1</v>
      </c>
      <c r="C2" s="37"/>
    </row>
    <row r="3" spans="1:8" ht="19.2">
      <c r="A3" s="13" t="s">
        <v>41</v>
      </c>
      <c r="B3" s="14"/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42</v>
      </c>
      <c r="H3" s="17" t="s">
        <v>43</v>
      </c>
    </row>
    <row r="4" spans="1:8">
      <c r="A4" s="18">
        <v>17</v>
      </c>
      <c r="B4" s="15" t="str">
        <f>CONCATENATE("=",A4)</f>
        <v>=17</v>
      </c>
      <c r="C4" s="15">
        <v>4</v>
      </c>
      <c r="D4" s="19">
        <f>C4/$C$15</f>
        <v>9.0909090909090912E-2</v>
      </c>
      <c r="E4" s="15">
        <f>C4</f>
        <v>4</v>
      </c>
      <c r="F4" s="15">
        <f>D4</f>
        <v>9.0909090909090912E-2</v>
      </c>
      <c r="G4" s="15">
        <f>A4*D4</f>
        <v>1.5454545454545454</v>
      </c>
      <c r="H4" s="20">
        <f>A4^2*D4</f>
        <v>26.272727272727273</v>
      </c>
    </row>
    <row r="5" spans="1:8">
      <c r="A5" s="18">
        <v>18</v>
      </c>
      <c r="B5" s="15" t="str">
        <f t="shared" ref="B5:B14" si="0">CONCATENATE("=",A5)</f>
        <v>=18</v>
      </c>
      <c r="C5" s="15">
        <v>6</v>
      </c>
      <c r="D5" s="19">
        <f t="shared" ref="D5:D14" si="1">C5/$C$15</f>
        <v>0.13636363636363635</v>
      </c>
      <c r="E5" s="15">
        <f>C5+E4</f>
        <v>10</v>
      </c>
      <c r="F5" s="15">
        <f>D5+F4</f>
        <v>0.22727272727272727</v>
      </c>
      <c r="G5" s="15">
        <f t="shared" ref="G5:G14" si="2">A5*D5</f>
        <v>2.4545454545454541</v>
      </c>
      <c r="H5" s="20">
        <f t="shared" ref="H5:H14" si="3">A5^2*D5</f>
        <v>44.18181818181818</v>
      </c>
    </row>
    <row r="6" spans="1:8">
      <c r="A6" s="18">
        <v>19</v>
      </c>
      <c r="B6" s="15" t="str">
        <f t="shared" si="0"/>
        <v>=19</v>
      </c>
      <c r="C6" s="15">
        <v>6</v>
      </c>
      <c r="D6" s="19">
        <f t="shared" si="1"/>
        <v>0.13636363636363635</v>
      </c>
      <c r="E6" s="15">
        <f t="shared" ref="E6:E14" si="4">C6+E5</f>
        <v>16</v>
      </c>
      <c r="F6" s="15">
        <f t="shared" ref="F6:F14" si="5">D6+F5</f>
        <v>0.36363636363636365</v>
      </c>
      <c r="G6" s="15">
        <f t="shared" si="2"/>
        <v>2.5909090909090908</v>
      </c>
      <c r="H6" s="20">
        <f t="shared" si="3"/>
        <v>49.227272727272727</v>
      </c>
    </row>
    <row r="7" spans="1:8">
      <c r="A7" s="18">
        <v>20</v>
      </c>
      <c r="B7" s="15" t="str">
        <f t="shared" si="0"/>
        <v>=20</v>
      </c>
      <c r="C7" s="15">
        <v>8</v>
      </c>
      <c r="D7" s="19">
        <f t="shared" si="1"/>
        <v>0.18181818181818182</v>
      </c>
      <c r="E7" s="15">
        <f t="shared" si="4"/>
        <v>24</v>
      </c>
      <c r="F7" s="15">
        <f t="shared" si="5"/>
        <v>0.54545454545454541</v>
      </c>
      <c r="G7" s="15">
        <f t="shared" si="2"/>
        <v>3.6363636363636367</v>
      </c>
      <c r="H7" s="20">
        <f t="shared" si="3"/>
        <v>72.727272727272734</v>
      </c>
    </row>
    <row r="8" spans="1:8">
      <c r="A8" s="18">
        <v>21</v>
      </c>
      <c r="B8" s="15" t="str">
        <f t="shared" si="0"/>
        <v>=21</v>
      </c>
      <c r="C8" s="15">
        <v>10</v>
      </c>
      <c r="D8" s="19">
        <f t="shared" si="1"/>
        <v>0.22727272727272727</v>
      </c>
      <c r="E8" s="15">
        <f t="shared" si="4"/>
        <v>34</v>
      </c>
      <c r="F8" s="15">
        <f t="shared" si="5"/>
        <v>0.77272727272727271</v>
      </c>
      <c r="G8" s="15">
        <f t="shared" si="2"/>
        <v>4.7727272727272725</v>
      </c>
      <c r="H8" s="20">
        <f t="shared" si="3"/>
        <v>100.22727272727272</v>
      </c>
    </row>
    <row r="9" spans="1:8">
      <c r="A9" s="18">
        <v>22</v>
      </c>
      <c r="B9" s="15"/>
      <c r="C9" s="15">
        <v>3</v>
      </c>
      <c r="D9" s="19">
        <f t="shared" si="1"/>
        <v>6.8181818181818177E-2</v>
      </c>
      <c r="E9" s="15">
        <f t="shared" si="4"/>
        <v>37</v>
      </c>
      <c r="F9" s="15">
        <f t="shared" si="5"/>
        <v>0.84090909090909083</v>
      </c>
      <c r="G9" s="15">
        <f t="shared" si="2"/>
        <v>1.5</v>
      </c>
      <c r="H9" s="20">
        <f t="shared" si="3"/>
        <v>33</v>
      </c>
    </row>
    <row r="10" spans="1:8">
      <c r="A10" s="18">
        <v>23</v>
      </c>
      <c r="B10" s="15"/>
      <c r="C10" s="15">
        <v>3</v>
      </c>
      <c r="D10" s="19">
        <f t="shared" si="1"/>
        <v>6.8181818181818177E-2</v>
      </c>
      <c r="E10" s="15">
        <f t="shared" si="4"/>
        <v>40</v>
      </c>
      <c r="F10" s="15">
        <f t="shared" si="5"/>
        <v>0.90909090909090895</v>
      </c>
      <c r="G10" s="15">
        <f t="shared" si="2"/>
        <v>1.5681818181818181</v>
      </c>
      <c r="H10" s="20">
        <f t="shared" si="3"/>
        <v>36.068181818181813</v>
      </c>
    </row>
    <row r="11" spans="1:8">
      <c r="A11" s="18">
        <v>24</v>
      </c>
      <c r="B11" s="15"/>
      <c r="C11" s="15">
        <v>2</v>
      </c>
      <c r="D11" s="19">
        <f t="shared" si="1"/>
        <v>4.5454545454545456E-2</v>
      </c>
      <c r="E11" s="15">
        <f t="shared" si="4"/>
        <v>42</v>
      </c>
      <c r="F11" s="15">
        <f t="shared" si="5"/>
        <v>0.95454545454545436</v>
      </c>
      <c r="G11" s="15">
        <f t="shared" si="2"/>
        <v>1.0909090909090908</v>
      </c>
      <c r="H11" s="20">
        <f t="shared" si="3"/>
        <v>26.181818181818183</v>
      </c>
    </row>
    <row r="12" spans="1:8">
      <c r="A12" s="18">
        <v>25</v>
      </c>
      <c r="B12" s="15" t="str">
        <f t="shared" si="0"/>
        <v>=25</v>
      </c>
      <c r="C12" s="15">
        <v>1</v>
      </c>
      <c r="D12" s="19">
        <f t="shared" si="1"/>
        <v>2.2727272727272728E-2</v>
      </c>
      <c r="E12" s="15">
        <f t="shared" si="4"/>
        <v>43</v>
      </c>
      <c r="F12" s="15">
        <f t="shared" si="5"/>
        <v>0.97727272727272707</v>
      </c>
      <c r="G12" s="15">
        <f t="shared" si="2"/>
        <v>0.56818181818181823</v>
      </c>
      <c r="H12" s="20">
        <f t="shared" si="3"/>
        <v>14.204545454545455</v>
      </c>
    </row>
    <row r="13" spans="1:8" hidden="1">
      <c r="A13" s="18">
        <v>26</v>
      </c>
      <c r="B13" s="15" t="str">
        <f t="shared" si="0"/>
        <v>=26</v>
      </c>
      <c r="C13" s="15">
        <v>0</v>
      </c>
      <c r="D13" s="19">
        <f t="shared" si="1"/>
        <v>0</v>
      </c>
      <c r="E13" s="15">
        <f t="shared" si="4"/>
        <v>43</v>
      </c>
      <c r="F13" s="15">
        <f t="shared" si="5"/>
        <v>0.97727272727272707</v>
      </c>
      <c r="G13" s="15">
        <f t="shared" si="2"/>
        <v>0</v>
      </c>
      <c r="H13" s="20">
        <f t="shared" si="3"/>
        <v>0</v>
      </c>
    </row>
    <row r="14" spans="1:8">
      <c r="A14" s="18">
        <v>27</v>
      </c>
      <c r="B14" s="15" t="str">
        <f t="shared" si="0"/>
        <v>=27</v>
      </c>
      <c r="C14" s="15">
        <v>1</v>
      </c>
      <c r="D14" s="19">
        <f t="shared" si="1"/>
        <v>2.2727272727272728E-2</v>
      </c>
      <c r="E14" s="15">
        <f t="shared" si="4"/>
        <v>44</v>
      </c>
      <c r="F14" s="15">
        <f t="shared" si="5"/>
        <v>0.99999999999999978</v>
      </c>
      <c r="G14" s="15">
        <f t="shared" si="2"/>
        <v>0.61363636363636365</v>
      </c>
      <c r="H14" s="20">
        <f t="shared" si="3"/>
        <v>16.56818181818182</v>
      </c>
    </row>
    <row r="15" spans="1:8" ht="16.2" thickBot="1">
      <c r="A15" s="12" t="s">
        <v>36</v>
      </c>
      <c r="B15" s="21"/>
      <c r="C15" s="21">
        <f>SUM(C4:C14)</f>
        <v>44</v>
      </c>
      <c r="D15" s="21">
        <f>SUM(D4:D14)</f>
        <v>0.99999999999999978</v>
      </c>
      <c r="E15" s="16"/>
      <c r="F15" s="21"/>
      <c r="G15" s="21">
        <f>SUM(G4:G14)</f>
        <v>20.340909090909086</v>
      </c>
      <c r="H15" s="10">
        <f t="shared" ref="H15" si="6">SUM(H4:H14)</f>
        <v>418.65909090909088</v>
      </c>
    </row>
    <row r="17" spans="1:3">
      <c r="A17" s="7" t="s">
        <v>7</v>
      </c>
      <c r="C17" s="1">
        <f>C15</f>
        <v>44</v>
      </c>
    </row>
    <row r="18" spans="1:3">
      <c r="A18" s="6" t="s">
        <v>18</v>
      </c>
      <c r="C18" s="1">
        <v>20</v>
      </c>
    </row>
    <row r="19" spans="1:3">
      <c r="A19" s="6" t="s">
        <v>19</v>
      </c>
      <c r="C19" s="1">
        <v>21</v>
      </c>
    </row>
    <row r="20" spans="1:3">
      <c r="A20" s="6" t="s">
        <v>6</v>
      </c>
      <c r="C20" s="1">
        <f>G15</f>
        <v>20.340909090909086</v>
      </c>
    </row>
    <row r="21" spans="1:3">
      <c r="A21" s="6" t="s">
        <v>72</v>
      </c>
      <c r="C21" s="1">
        <f>H15-C20^2</f>
        <v>4.906508264462957</v>
      </c>
    </row>
  </sheetData>
  <pageMargins left="0.70866141732283472" right="0.70866141732283472" top="0.74803149606299213" bottom="0.74803149606299213" header="0.31496062992125984" footer="0.31496062992125984"/>
  <pageSetup paperSize="9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4"/>
  <sheetViews>
    <sheetView topLeftCell="A29" workbookViewId="0">
      <selection activeCell="M47" sqref="M47"/>
    </sheetView>
  </sheetViews>
  <sheetFormatPr defaultColWidth="9.21875" defaultRowHeight="13.8"/>
  <cols>
    <col min="1" max="16384" width="9.21875" style="31"/>
  </cols>
  <sheetData>
    <row r="1" spans="1:20">
      <c r="A1" s="32" t="s">
        <v>6</v>
      </c>
      <c r="B1" s="31">
        <v>20</v>
      </c>
    </row>
    <row r="2" spans="1:20">
      <c r="A2" s="32" t="s">
        <v>73</v>
      </c>
      <c r="B2" s="31">
        <v>2</v>
      </c>
    </row>
    <row r="4" spans="1:20">
      <c r="A4" s="31">
        <v>20.707693435984805</v>
      </c>
      <c r="B4" s="31">
        <v>19.031636632514804</v>
      </c>
      <c r="C4" s="31">
        <v>16.839446980834076</v>
      </c>
      <c r="D4" s="31">
        <v>21.532087741604762</v>
      </c>
      <c r="E4" s="31">
        <v>19.398030324202619</v>
      </c>
      <c r="F4" s="31">
        <v>18.323223109443184</v>
      </c>
      <c r="G4" s="31">
        <v>19.72820989822808</v>
      </c>
      <c r="H4" s="31">
        <v>19.391860734643821</v>
      </c>
      <c r="I4" s="31">
        <v>19.199803273511048</v>
      </c>
      <c r="J4" s="31">
        <v>20.49573778330824</v>
      </c>
      <c r="K4" s="31">
        <v>17.566395150227414</v>
      </c>
      <c r="L4" s="31">
        <v>23.922079578733534</v>
      </c>
      <c r="M4" s="31">
        <v>18.938520718744947</v>
      </c>
      <c r="N4" s="31">
        <v>20.028100950035931</v>
      </c>
      <c r="O4" s="31">
        <v>23.795213878257812</v>
      </c>
      <c r="P4" s="31">
        <v>20.119696025911015</v>
      </c>
      <c r="Q4" s="31">
        <v>19.988021872742568</v>
      </c>
      <c r="R4" s="31">
        <v>19.404601090148994</v>
      </c>
      <c r="S4" s="31">
        <v>18.399777077288121</v>
      </c>
      <c r="T4" s="31">
        <v>17.432739778508569</v>
      </c>
    </row>
    <row r="5" spans="1:20">
      <c r="A5" s="31">
        <v>18.546812511049364</v>
      </c>
      <c r="B5" s="31">
        <v>15.982922212969186</v>
      </c>
      <c r="C5" s="31">
        <v>17.095370161654007</v>
      </c>
      <c r="D5" s="31">
        <v>16.304549061474908</v>
      </c>
      <c r="E5" s="31">
        <v>16.591378356179483</v>
      </c>
      <c r="F5" s="31">
        <v>21.527092237914786</v>
      </c>
      <c r="G5" s="31">
        <v>18.628746546008944</v>
      </c>
      <c r="H5" s="31">
        <v>17.782572188806949</v>
      </c>
      <c r="I5" s="31">
        <v>17.770150016102416</v>
      </c>
      <c r="J5" s="31">
        <v>18.924681772704055</v>
      </c>
      <c r="K5" s="31">
        <v>19.931978161760558</v>
      </c>
      <c r="L5" s="31">
        <v>21.467817932445662</v>
      </c>
      <c r="M5" s="31">
        <v>19.485594777832077</v>
      </c>
      <c r="N5" s="31">
        <v>20.50565512055725</v>
      </c>
      <c r="O5" s="31">
        <v>20.537813095205845</v>
      </c>
      <c r="P5" s="31">
        <v>21.6498366688737</v>
      </c>
      <c r="Q5" s="31">
        <v>18.429985255428992</v>
      </c>
      <c r="R5" s="31">
        <v>17.967834466420371</v>
      </c>
      <c r="S5" s="31">
        <v>20.06643796431484</v>
      </c>
      <c r="T5" s="31">
        <v>21.372233777420337</v>
      </c>
    </row>
    <row r="6" spans="1:20">
      <c r="A6" s="31">
        <v>20.847897251364</v>
      </c>
      <c r="B6" s="31">
        <v>19.140243012027312</v>
      </c>
      <c r="C6" s="31">
        <v>20.847869945214931</v>
      </c>
      <c r="D6" s="31">
        <v>20.995076111970143</v>
      </c>
      <c r="E6" s="31">
        <v>19.14128927153525</v>
      </c>
      <c r="F6" s="31">
        <v>18.346767794017175</v>
      </c>
      <c r="G6" s="31">
        <v>18.04341506558178</v>
      </c>
      <c r="H6" s="31">
        <v>18.408360342563331</v>
      </c>
      <c r="I6" s="31">
        <v>22.153281564162011</v>
      </c>
      <c r="J6" s="31">
        <v>16.364856524964381</v>
      </c>
      <c r="K6" s="31">
        <v>19.929140924338064</v>
      </c>
      <c r="L6" s="31">
        <v>19.536347055373355</v>
      </c>
      <c r="M6" s="31">
        <v>20.587306501883457</v>
      </c>
      <c r="N6" s="31">
        <v>18.167239791165677</v>
      </c>
      <c r="O6" s="31">
        <v>20.970959519543857</v>
      </c>
      <c r="P6" s="31">
        <v>19.850289275656575</v>
      </c>
      <c r="Q6" s="31">
        <v>21.656218215721601</v>
      </c>
      <c r="R6" s="31">
        <v>20.491230567308275</v>
      </c>
      <c r="S6" s="31">
        <v>20.671860430089662</v>
      </c>
      <c r="T6" s="31">
        <v>20.887846458663077</v>
      </c>
    </row>
    <row r="7" spans="1:20">
      <c r="A7" s="31">
        <v>20.358101120992679</v>
      </c>
      <c r="B7" s="31">
        <v>20.884777349935558</v>
      </c>
      <c r="C7" s="31">
        <v>21.022367202562652</v>
      </c>
      <c r="D7" s="31">
        <v>21.249945156498985</v>
      </c>
      <c r="E7" s="31">
        <v>17.00452619639632</v>
      </c>
      <c r="F7" s="31">
        <v>20.608298648978828</v>
      </c>
      <c r="G7" s="31">
        <v>20.076065023730848</v>
      </c>
      <c r="H7" s="31">
        <v>19.990718360986936</v>
      </c>
      <c r="I7" s="31">
        <v>20.218318239399782</v>
      </c>
      <c r="J7" s="31">
        <v>20.67744987639432</v>
      </c>
      <c r="K7" s="31">
        <v>19.642309903944948</v>
      </c>
      <c r="L7" s="31">
        <v>19.813174242660281</v>
      </c>
      <c r="M7" s="31">
        <v>20.436510486454171</v>
      </c>
      <c r="N7" s="31">
        <v>21.647429515109248</v>
      </c>
      <c r="O7" s="31">
        <v>20.646867040530445</v>
      </c>
      <c r="P7" s="31">
        <v>21.376869448006115</v>
      </c>
      <c r="Q7" s="31">
        <v>23.266960672051617</v>
      </c>
      <c r="R7" s="31">
        <v>19.255758153622516</v>
      </c>
      <c r="S7" s="31">
        <v>21.773198891017348</v>
      </c>
      <c r="T7" s="31">
        <v>17.364527964863179</v>
      </c>
    </row>
    <row r="8" spans="1:20">
      <c r="A8" s="31">
        <v>21.336034341453232</v>
      </c>
      <c r="B8" s="31">
        <v>18.220761422335897</v>
      </c>
      <c r="C8" s="31">
        <v>18.577816251924009</v>
      </c>
      <c r="D8" s="31">
        <v>20.548171063804897</v>
      </c>
      <c r="E8" s="31">
        <v>20.463827368479024</v>
      </c>
      <c r="F8" s="31">
        <v>18.345153618686147</v>
      </c>
      <c r="G8" s="31">
        <v>22.536941069379555</v>
      </c>
      <c r="H8" s="31">
        <v>15.664096429246017</v>
      </c>
      <c r="I8" s="31">
        <v>19.043447930004188</v>
      </c>
      <c r="J8" s="31">
        <v>18.804407261441025</v>
      </c>
      <c r="K8" s="31">
        <v>21.881832301833203</v>
      </c>
      <c r="L8" s="31">
        <v>20.544752564355704</v>
      </c>
      <c r="M8" s="31">
        <v>18.268292859626523</v>
      </c>
      <c r="N8" s="31">
        <v>19.109245911708221</v>
      </c>
      <c r="O8" s="31">
        <v>21.467026920536163</v>
      </c>
      <c r="P8" s="31">
        <v>16.220778889105098</v>
      </c>
      <c r="Q8" s="31">
        <v>20.765356119094641</v>
      </c>
      <c r="R8" s="31">
        <v>21.968815431217369</v>
      </c>
      <c r="S8" s="31">
        <v>19.893584766850253</v>
      </c>
      <c r="T8" s="31">
        <v>18.988633574883579</v>
      </c>
    </row>
    <row r="9" spans="1:20">
      <c r="A9" s="31">
        <v>17.709983898114082</v>
      </c>
      <c r="B9" s="31">
        <v>18.617894011797297</v>
      </c>
      <c r="C9" s="31">
        <v>21.308456236890365</v>
      </c>
      <c r="D9" s="31">
        <v>19.942011772592441</v>
      </c>
      <c r="E9" s="31">
        <v>21.620315072967255</v>
      </c>
      <c r="F9" s="31">
        <v>17.940474849506323</v>
      </c>
      <c r="G9" s="31">
        <v>21.318053806941215</v>
      </c>
      <c r="H9" s="31">
        <v>19.007840795836827</v>
      </c>
      <c r="I9" s="31">
        <v>19.814427783884973</v>
      </c>
      <c r="J9" s="31">
        <v>17.663362339075015</v>
      </c>
      <c r="K9" s="31">
        <v>20.594963598516923</v>
      </c>
      <c r="L9" s="31">
        <v>19.727335882189951</v>
      </c>
      <c r="M9" s="31">
        <v>19.036346002041189</v>
      </c>
      <c r="N9" s="31">
        <v>20.627025317915297</v>
      </c>
      <c r="O9" s="31">
        <v>19.836536594689463</v>
      </c>
      <c r="P9" s="31">
        <v>21.522445936939654</v>
      </c>
      <c r="Q9" s="31">
        <v>19.886375519110061</v>
      </c>
      <c r="R9" s="31">
        <v>18.834161833435029</v>
      </c>
      <c r="S9" s="31">
        <v>23.363471663857311</v>
      </c>
      <c r="T9" s="31">
        <v>21.048123481231745</v>
      </c>
    </row>
    <row r="10" spans="1:20">
      <c r="A10" s="31">
        <v>20.253060198875094</v>
      </c>
      <c r="B10" s="31">
        <v>19.273067006778899</v>
      </c>
      <c r="C10" s="31">
        <v>19.511586736223048</v>
      </c>
      <c r="D10" s="31">
        <v>20.195557198061785</v>
      </c>
      <c r="E10" s="31">
        <v>21.981054478561781</v>
      </c>
      <c r="F10" s="31">
        <v>21.986896394599491</v>
      </c>
      <c r="G10" s="31">
        <v>21.783587832208294</v>
      </c>
      <c r="H10" s="31">
        <v>24.163116382532568</v>
      </c>
      <c r="I10" s="31">
        <v>22.268978034191736</v>
      </c>
      <c r="J10" s="31">
        <v>18.383709232240079</v>
      </c>
      <c r="K10" s="31">
        <v>18.893809677311729</v>
      </c>
      <c r="L10" s="31">
        <v>20.428564147353438</v>
      </c>
      <c r="M10" s="31">
        <v>18.956181471426923</v>
      </c>
      <c r="N10" s="31">
        <v>22.882465162473714</v>
      </c>
      <c r="O10" s="31">
        <v>18.391066885647383</v>
      </c>
      <c r="P10" s="31">
        <v>19.283380096558172</v>
      </c>
      <c r="Q10" s="31">
        <v>19.676097513168497</v>
      </c>
      <c r="R10" s="31">
        <v>15.723194329116829</v>
      </c>
      <c r="S10" s="31">
        <v>19.293904246162615</v>
      </c>
      <c r="T10" s="31">
        <v>20.87341238762777</v>
      </c>
    </row>
    <row r="11" spans="1:20">
      <c r="A11" s="31">
        <v>18.392540678541636</v>
      </c>
      <c r="B11" s="31">
        <v>15.199581965856847</v>
      </c>
      <c r="C11" s="31">
        <v>21.518264794412698</v>
      </c>
      <c r="D11" s="31">
        <v>22.660058999192888</v>
      </c>
      <c r="E11" s="31">
        <v>17.117168521339384</v>
      </c>
      <c r="F11" s="31">
        <v>20.452966257571966</v>
      </c>
      <c r="G11" s="31">
        <v>18.313406963039657</v>
      </c>
      <c r="H11" s="31">
        <v>17.604069096278447</v>
      </c>
      <c r="I11" s="31">
        <v>20.657135529120875</v>
      </c>
      <c r="J11" s="31">
        <v>22.02320387981181</v>
      </c>
      <c r="K11" s="31">
        <v>18.609612925560278</v>
      </c>
      <c r="L11" s="31">
        <v>18.876686011579849</v>
      </c>
      <c r="M11" s="31">
        <v>19.151723517169156</v>
      </c>
      <c r="N11" s="31">
        <v>19.696869431750383</v>
      </c>
      <c r="O11" s="31">
        <v>23.530863056889665</v>
      </c>
      <c r="P11" s="31">
        <v>21.904592888303487</v>
      </c>
      <c r="Q11" s="31">
        <v>18.755953580613586</v>
      </c>
      <c r="R11" s="31">
        <v>22.526708790127284</v>
      </c>
      <c r="S11" s="31">
        <v>22.469523160419758</v>
      </c>
      <c r="T11" s="31">
        <v>21.669897954033004</v>
      </c>
    </row>
    <row r="12" spans="1:20">
      <c r="A12" s="31">
        <v>17.960802833559551</v>
      </c>
      <c r="B12" s="31">
        <v>19.919838249893235</v>
      </c>
      <c r="C12" s="31">
        <v>19.319277769639946</v>
      </c>
      <c r="D12" s="31">
        <v>21.469948738164572</v>
      </c>
      <c r="E12" s="31">
        <v>24.267965941790397</v>
      </c>
      <c r="F12" s="31">
        <v>21.058496953040521</v>
      </c>
      <c r="G12" s="31">
        <v>18.983721075759906</v>
      </c>
      <c r="H12" s="31">
        <v>19.849173531508118</v>
      </c>
      <c r="I12" s="31">
        <v>17.715732843883682</v>
      </c>
      <c r="J12" s="31">
        <v>21.515090782698859</v>
      </c>
      <c r="K12" s="31">
        <v>17.244406503687873</v>
      </c>
      <c r="L12" s="31">
        <v>17.724303625976749</v>
      </c>
      <c r="M12" s="31">
        <v>19.388719525060484</v>
      </c>
      <c r="N12" s="31">
        <v>27.117957268810404</v>
      </c>
      <c r="O12" s="31">
        <v>19.05106224080026</v>
      </c>
      <c r="P12" s="31">
        <v>18.657364047784725</v>
      </c>
      <c r="Q12" s="31">
        <v>18.85986711962812</v>
      </c>
      <c r="R12" s="31">
        <v>20.612225577557744</v>
      </c>
      <c r="S12" s="31">
        <v>17.845185606760001</v>
      </c>
      <c r="T12" s="31">
        <v>19.904031690315556</v>
      </c>
    </row>
    <row r="13" spans="1:20">
      <c r="A13" s="31">
        <v>23.365640804822</v>
      </c>
      <c r="B13" s="31">
        <v>21.952521006215484</v>
      </c>
      <c r="C13" s="31">
        <v>21.789090979334961</v>
      </c>
      <c r="D13" s="31">
        <v>20.71166610310949</v>
      </c>
      <c r="E13" s="31">
        <v>19.872828983219531</v>
      </c>
      <c r="F13" s="31">
        <v>18.79762852982541</v>
      </c>
      <c r="G13" s="31">
        <v>19.524599737428215</v>
      </c>
      <c r="H13" s="31">
        <v>22.218996775782792</v>
      </c>
      <c r="I13" s="31">
        <v>24.088425236254075</v>
      </c>
      <c r="J13" s="31">
        <v>22.201924714863445</v>
      </c>
      <c r="K13" s="31">
        <v>22.819017056454445</v>
      </c>
      <c r="L13" s="31">
        <v>18.85053210025632</v>
      </c>
      <c r="M13" s="31">
        <v>22.571249430781709</v>
      </c>
      <c r="N13" s="31">
        <v>19.896081922144489</v>
      </c>
      <c r="O13" s="31">
        <v>21.079692031237109</v>
      </c>
      <c r="P13" s="31">
        <v>18.859613264581288</v>
      </c>
      <c r="Q13" s="31">
        <v>19.580582887884241</v>
      </c>
      <c r="R13" s="31">
        <v>18.572577853976934</v>
      </c>
      <c r="S13" s="31">
        <v>17.465304809932118</v>
      </c>
      <c r="T13" s="31">
        <v>17.536415979355155</v>
      </c>
    </row>
    <row r="14" spans="1:20">
      <c r="A14" s="31">
        <v>24.898920413256313</v>
      </c>
      <c r="B14" s="31">
        <v>21.834085667641435</v>
      </c>
      <c r="C14" s="31">
        <v>19.66266818989045</v>
      </c>
      <c r="D14" s="31">
        <v>18.999354374920806</v>
      </c>
      <c r="E14" s="31">
        <v>17.996891304908416</v>
      </c>
      <c r="F14" s="31">
        <v>18.440115032726546</v>
      </c>
      <c r="G14" s="31">
        <v>17.338050685363953</v>
      </c>
      <c r="H14" s="31">
        <v>17.759044263559389</v>
      </c>
      <c r="I14" s="31">
        <v>21.219102919792604</v>
      </c>
      <c r="J14" s="31">
        <v>20.985436440979399</v>
      </c>
      <c r="K14" s="31">
        <v>19.652461379674705</v>
      </c>
      <c r="L14" s="31">
        <v>20.162534564784412</v>
      </c>
      <c r="M14" s="31">
        <v>16.303417798589052</v>
      </c>
      <c r="N14" s="31">
        <v>20.273312942185015</v>
      </c>
      <c r="O14" s="31">
        <v>19.611356207342251</v>
      </c>
      <c r="P14" s="31">
        <v>22.284074863503211</v>
      </c>
      <c r="Q14" s="31">
        <v>20.034731920338992</v>
      </c>
      <c r="R14" s="31">
        <v>16.707068715114346</v>
      </c>
      <c r="S14" s="31">
        <v>24.097179945609831</v>
      </c>
      <c r="T14" s="31">
        <v>16.447967216638027</v>
      </c>
    </row>
    <row r="15" spans="1:20">
      <c r="A15" s="31">
        <v>21.404718929381996</v>
      </c>
      <c r="B15" s="31">
        <v>11.821079237342929</v>
      </c>
      <c r="C15" s="31">
        <v>21.765262996861694</v>
      </c>
      <c r="D15" s="31">
        <v>16.372132868168155</v>
      </c>
      <c r="E15" s="31">
        <v>21.353429839592913</v>
      </c>
      <c r="F15" s="31">
        <v>20.17977996391944</v>
      </c>
      <c r="G15" s="31">
        <v>19.412127320145334</v>
      </c>
      <c r="H15" s="31">
        <v>21.365782083828151</v>
      </c>
      <c r="I15" s="31">
        <v>22.121279924045833</v>
      </c>
      <c r="J15" s="31">
        <v>23.068401110404682</v>
      </c>
      <c r="K15" s="31">
        <v>20.603074619635699</v>
      </c>
      <c r="L15" s="31">
        <v>23.394877024918451</v>
      </c>
      <c r="M15" s="31">
        <v>23.085128903932489</v>
      </c>
      <c r="N15" s="31">
        <v>18.049596619957768</v>
      </c>
      <c r="O15" s="31">
        <v>20.71998246928873</v>
      </c>
      <c r="P15" s="31">
        <v>19.28042927224978</v>
      </c>
      <c r="Q15" s="31">
        <v>20.54624519850433</v>
      </c>
      <c r="R15" s="31">
        <v>24.162221997028468</v>
      </c>
      <c r="S15" s="31">
        <v>20.429843012882166</v>
      </c>
      <c r="T15" s="31">
        <v>18.527924092422086</v>
      </c>
    </row>
    <row r="16" spans="1:20">
      <c r="A16" s="31">
        <v>22.891988505532627</v>
      </c>
      <c r="B16" s="31">
        <v>18.775340614364886</v>
      </c>
      <c r="C16" s="31">
        <v>24.365550429714879</v>
      </c>
      <c r="D16" s="31">
        <v>20.527423065876718</v>
      </c>
      <c r="E16" s="31">
        <v>23.736951388669823</v>
      </c>
      <c r="F16" s="31">
        <v>21.761170794876062</v>
      </c>
      <c r="G16" s="31">
        <v>20.79495307533762</v>
      </c>
      <c r="H16" s="31">
        <v>22.608979852234917</v>
      </c>
      <c r="I16" s="31">
        <v>22.790610333799666</v>
      </c>
      <c r="J16" s="31">
        <v>19.074167141059945</v>
      </c>
      <c r="K16" s="31">
        <v>20.282615196609505</v>
      </c>
      <c r="L16" s="31">
        <v>18.291691576802897</v>
      </c>
      <c r="M16" s="31">
        <v>19.797567221884062</v>
      </c>
      <c r="N16" s="31">
        <v>18.034495155659741</v>
      </c>
      <c r="O16" s="31">
        <v>18.477266696555191</v>
      </c>
      <c r="P16" s="31">
        <v>19.67185400121425</v>
      </c>
      <c r="Q16" s="31">
        <v>22.06571895712236</v>
      </c>
      <c r="R16" s="31">
        <v>19.432253952983277</v>
      </c>
      <c r="S16" s="31">
        <v>21.338333744888157</v>
      </c>
      <c r="T16" s="31">
        <v>22.182530712588818</v>
      </c>
    </row>
    <row r="17" spans="1:20">
      <c r="A17" s="31">
        <v>19.467025924777509</v>
      </c>
      <c r="B17" s="31">
        <v>19.83606108535291</v>
      </c>
      <c r="C17" s="31">
        <v>18.836081147388349</v>
      </c>
      <c r="D17" s="31">
        <v>20.638020931405919</v>
      </c>
      <c r="E17" s="31">
        <v>18.225239341483402</v>
      </c>
      <c r="F17" s="31">
        <v>19.36827316048543</v>
      </c>
      <c r="G17" s="31">
        <v>20.216395100260474</v>
      </c>
      <c r="H17" s="31">
        <v>17.692998103569515</v>
      </c>
      <c r="I17" s="31">
        <v>23.742314014375744</v>
      </c>
      <c r="J17" s="31">
        <v>21.031582112859937</v>
      </c>
      <c r="K17" s="31">
        <v>19.107695618228789</v>
      </c>
      <c r="L17" s="31">
        <v>22.09613423552408</v>
      </c>
      <c r="M17" s="31">
        <v>17.545024943578543</v>
      </c>
      <c r="N17" s="31">
        <v>21.287854394364743</v>
      </c>
      <c r="O17" s="31">
        <v>17.296052941179891</v>
      </c>
      <c r="P17" s="31">
        <v>20.409560090364739</v>
      </c>
      <c r="Q17" s="31">
        <v>17.625538124681526</v>
      </c>
      <c r="R17" s="31">
        <v>19.088826436957621</v>
      </c>
      <c r="S17" s="31">
        <v>19.387018910240382</v>
      </c>
      <c r="T17" s="31">
        <v>22.974134713382998</v>
      </c>
    </row>
    <row r="18" spans="1:20">
      <c r="A18" s="31">
        <v>20.387893014538577</v>
      </c>
      <c r="B18" s="31">
        <v>21.128850517046356</v>
      </c>
      <c r="C18" s="31">
        <v>21.66919572310119</v>
      </c>
      <c r="D18" s="31">
        <v>19.229247226858433</v>
      </c>
      <c r="E18" s="31">
        <v>21.549384569074526</v>
      </c>
      <c r="F18" s="31">
        <v>19.758083791205983</v>
      </c>
      <c r="G18" s="31">
        <v>21.006261290155837</v>
      </c>
      <c r="H18" s="31">
        <v>22.846117491456067</v>
      </c>
      <c r="I18" s="31">
        <v>21.622580179142293</v>
      </c>
      <c r="J18" s="31">
        <v>23.401129100148339</v>
      </c>
      <c r="K18" s="31">
        <v>21.134088716998843</v>
      </c>
      <c r="L18" s="31">
        <v>17.124417560933374</v>
      </c>
      <c r="M18" s="31">
        <v>19.253350509707417</v>
      </c>
      <c r="N18" s="31">
        <v>17.649529462596899</v>
      </c>
      <c r="O18" s="31">
        <v>15.594520181641158</v>
      </c>
      <c r="P18" s="31">
        <v>17.509842275471453</v>
      </c>
      <c r="Q18" s="31">
        <v>23.178522432431819</v>
      </c>
      <c r="R18" s="31">
        <v>22.674000690384819</v>
      </c>
      <c r="S18" s="31">
        <v>21.220295590510187</v>
      </c>
      <c r="T18" s="31">
        <v>17.8736581773599</v>
      </c>
    </row>
    <row r="19" spans="1:20">
      <c r="A19" s="31">
        <v>25.485014633014679</v>
      </c>
      <c r="B19" s="31">
        <v>19.399256057866165</v>
      </c>
      <c r="C19" s="31">
        <v>17.379030374882635</v>
      </c>
      <c r="D19" s="31">
        <v>20.280338172778301</v>
      </c>
      <c r="E19" s="31">
        <v>18.084916784065221</v>
      </c>
      <c r="F19" s="31">
        <v>19.820667681370942</v>
      </c>
      <c r="G19" s="31">
        <v>17.311384900811312</v>
      </c>
      <c r="H19" s="31">
        <v>22.44636256626378</v>
      </c>
      <c r="I19" s="31">
        <v>18.072304786853653</v>
      </c>
      <c r="J19" s="31">
        <v>22.452903677535346</v>
      </c>
      <c r="K19" s="31">
        <v>16.80278384236891</v>
      </c>
      <c r="L19" s="31">
        <v>20.998589891238023</v>
      </c>
      <c r="M19" s="31">
        <v>25.019488690215944</v>
      </c>
      <c r="N19" s="31">
        <v>18.978607602434387</v>
      </c>
      <c r="O19" s="31">
        <v>16.720605750711005</v>
      </c>
      <c r="P19" s="31">
        <v>20.378599226491957</v>
      </c>
      <c r="Q19" s="31">
        <v>22.155421531586466</v>
      </c>
      <c r="R19" s="31">
        <v>16.62383487454391</v>
      </c>
      <c r="S19" s="31">
        <v>18.862898131212464</v>
      </c>
      <c r="T19" s="31">
        <v>20.284760331944497</v>
      </c>
    </row>
    <row r="20" spans="1:20">
      <c r="A20" s="31">
        <v>20.53242064472116</v>
      </c>
      <c r="B20" s="31">
        <v>21.700816631869831</v>
      </c>
      <c r="C20" s="31">
        <v>18.955766939289177</v>
      </c>
      <c r="D20" s="31">
        <v>21.079810225174697</v>
      </c>
      <c r="E20" s="31">
        <v>23.217819166404389</v>
      </c>
      <c r="F20" s="31">
        <v>20.199011237928477</v>
      </c>
      <c r="G20" s="31">
        <v>20.821461255256786</v>
      </c>
      <c r="H20" s="31">
        <v>19.268299591268093</v>
      </c>
      <c r="I20" s="31">
        <v>18.093597499871535</v>
      </c>
      <c r="J20" s="31">
        <v>19.187119155693399</v>
      </c>
      <c r="K20" s="31">
        <v>21.365246189841894</v>
      </c>
      <c r="L20" s="31">
        <v>19.220888052819415</v>
      </c>
      <c r="M20" s="31">
        <v>23.517511551556062</v>
      </c>
      <c r="N20" s="31">
        <v>21.511708531498961</v>
      </c>
      <c r="O20" s="31">
        <v>18.772017398045051</v>
      </c>
      <c r="P20" s="31">
        <v>19.835870314881149</v>
      </c>
      <c r="Q20" s="31">
        <v>19.145085655109103</v>
      </c>
      <c r="R20" s="31">
        <v>18.945132996203711</v>
      </c>
      <c r="S20" s="31">
        <v>18.794976447206484</v>
      </c>
      <c r="T20" s="31">
        <v>20.113547242702278</v>
      </c>
    </row>
    <row r="21" spans="1:20">
      <c r="A21" s="31">
        <v>17.344587193545404</v>
      </c>
      <c r="B21" s="31">
        <v>23.575019862076495</v>
      </c>
      <c r="C21" s="31">
        <v>22.914520050685233</v>
      </c>
      <c r="D21" s="31">
        <v>18.943135401617631</v>
      </c>
      <c r="E21" s="31">
        <v>20.980684522444697</v>
      </c>
      <c r="F21" s="31">
        <v>20.128091112774896</v>
      </c>
      <c r="G21" s="31">
        <v>19.493142947284589</v>
      </c>
      <c r="H21" s="31">
        <v>20.276924614009992</v>
      </c>
      <c r="I21" s="31">
        <v>18.669549422605588</v>
      </c>
      <c r="J21" s="31">
        <v>19.628139712767933</v>
      </c>
      <c r="K21" s="31">
        <v>18.694117409716185</v>
      </c>
      <c r="L21" s="31">
        <v>22.459262330298436</v>
      </c>
      <c r="M21" s="31">
        <v>19.164678754151254</v>
      </c>
      <c r="N21" s="31">
        <v>21.070102088869724</v>
      </c>
      <c r="O21" s="31">
        <v>21.125134425957242</v>
      </c>
      <c r="P21" s="31">
        <v>21.571478120049239</v>
      </c>
      <c r="Q21" s="31">
        <v>23.26968730815225</v>
      </c>
      <c r="R21" s="31">
        <v>15.601288357101874</v>
      </c>
      <c r="S21" s="31">
        <v>21.996173495798956</v>
      </c>
      <c r="T21" s="31">
        <v>22.28910340016062</v>
      </c>
    </row>
    <row r="22" spans="1:20">
      <c r="A22" s="31">
        <v>19.057070705816425</v>
      </c>
      <c r="B22" s="31">
        <v>20.03603156054362</v>
      </c>
      <c r="C22" s="31">
        <v>19.991931072882636</v>
      </c>
      <c r="D22" s="31">
        <v>21.298817187123628</v>
      </c>
      <c r="E22" s="31">
        <v>17.768589421561639</v>
      </c>
      <c r="F22" s="31">
        <v>16.87595453378129</v>
      </c>
      <c r="G22" s="31">
        <v>20.449580539599918</v>
      </c>
      <c r="H22" s="31">
        <v>17.259725463593043</v>
      </c>
      <c r="I22" s="31">
        <v>22.574495928059029</v>
      </c>
      <c r="J22" s="31">
        <v>20.795317908445504</v>
      </c>
      <c r="K22" s="31">
        <v>20.836815416335103</v>
      </c>
      <c r="L22" s="31">
        <v>23.466476136360868</v>
      </c>
      <c r="M22" s="31">
        <v>20.525800868033873</v>
      </c>
      <c r="N22" s="31">
        <v>20.51674043279321</v>
      </c>
      <c r="O22" s="31">
        <v>19.925279095038846</v>
      </c>
      <c r="P22" s="31">
        <v>19.862917663788753</v>
      </c>
      <c r="Q22" s="31">
        <v>19.832370451499571</v>
      </c>
      <c r="R22" s="31">
        <v>20.855462178052811</v>
      </c>
      <c r="S22" s="31">
        <v>19.956743027764961</v>
      </c>
      <c r="T22" s="31">
        <v>21.308940531096777</v>
      </c>
    </row>
    <row r="23" spans="1:20">
      <c r="A23" s="31">
        <v>18.558912236116505</v>
      </c>
      <c r="B23" s="31">
        <v>16.404218262753481</v>
      </c>
      <c r="C23" s="31">
        <v>19.019671432345007</v>
      </c>
      <c r="D23" s="31">
        <v>18.007700821947008</v>
      </c>
      <c r="E23" s="31">
        <v>18.32193591046126</v>
      </c>
      <c r="F23" s="31">
        <v>17.440420774396404</v>
      </c>
      <c r="G23" s="31">
        <v>20.214353775168096</v>
      </c>
      <c r="H23" s="31">
        <v>18.178125470132947</v>
      </c>
      <c r="I23" s="31">
        <v>21.342069472882791</v>
      </c>
      <c r="J23" s="31">
        <v>20.182657460666469</v>
      </c>
      <c r="K23" s="31">
        <v>23.909457946218097</v>
      </c>
      <c r="L23" s="31">
        <v>18.944991002339371</v>
      </c>
      <c r="M23" s="31">
        <v>21.341281615345348</v>
      </c>
      <c r="N23" s="31">
        <v>18.236625557803833</v>
      </c>
      <c r="O23" s="31">
        <v>20.039778425748899</v>
      </c>
      <c r="P23" s="31">
        <v>20.88508004172057</v>
      </c>
      <c r="Q23" s="31">
        <v>17.600572236613573</v>
      </c>
      <c r="R23" s="31">
        <v>19.148642383430534</v>
      </c>
      <c r="S23" s="31">
        <v>17.276422299296534</v>
      </c>
      <c r="T23" s="31">
        <v>16.929822973699789</v>
      </c>
    </row>
    <row r="24" spans="1:20">
      <c r="A24" s="31">
        <v>21.235169132475825</v>
      </c>
      <c r="B24" s="31">
        <v>18.473970330769131</v>
      </c>
      <c r="C24" s="31">
        <v>18.692404177117332</v>
      </c>
      <c r="D24" s="31">
        <v>21.280124579846106</v>
      </c>
      <c r="E24" s="31">
        <v>19.152367702330164</v>
      </c>
      <c r="F24" s="31">
        <v>19.291770236483675</v>
      </c>
      <c r="G24" s="31">
        <v>22.239053975487781</v>
      </c>
      <c r="H24" s="31">
        <v>20.495584057920237</v>
      </c>
      <c r="I24" s="31">
        <v>19.910473571815846</v>
      </c>
      <c r="J24" s="31">
        <v>21.013988783658213</v>
      </c>
      <c r="K24" s="31">
        <v>22.448682522521409</v>
      </c>
      <c r="L24" s="31">
        <v>18.894518162254755</v>
      </c>
      <c r="M24" s="31">
        <v>18.904139523098195</v>
      </c>
      <c r="N24" s="31">
        <v>19.985686308522201</v>
      </c>
      <c r="O24" s="31">
        <v>16.47079602788472</v>
      </c>
      <c r="P24" s="31">
        <v>19.877479721711595</v>
      </c>
      <c r="Q24" s="31">
        <v>19.035291694008297</v>
      </c>
      <c r="R24" s="31">
        <v>18.834135373458594</v>
      </c>
      <c r="S24" s="31">
        <v>17.866858662618032</v>
      </c>
      <c r="T24" s="31">
        <v>17.377056191869265</v>
      </c>
    </row>
    <row r="25" spans="1:20">
      <c r="A25" s="31">
        <v>17.667456094929527</v>
      </c>
      <c r="B25" s="31">
        <v>19.714258375556948</v>
      </c>
      <c r="C25" s="31">
        <v>18.579533074038689</v>
      </c>
      <c r="D25" s="31">
        <v>19.574066663454857</v>
      </c>
      <c r="E25" s="31">
        <v>17.425504754226875</v>
      </c>
      <c r="F25" s="31">
        <v>18.797468215838396</v>
      </c>
      <c r="G25" s="31">
        <v>20.739553783836559</v>
      </c>
      <c r="H25" s="31">
        <v>19.876036667269769</v>
      </c>
      <c r="I25" s="31">
        <v>19.351321417220266</v>
      </c>
      <c r="J25" s="31">
        <v>17.499476934379743</v>
      </c>
      <c r="K25" s="31">
        <v>18.97720798128946</v>
      </c>
      <c r="L25" s="31">
        <v>16.739676560978019</v>
      </c>
      <c r="M25" s="31">
        <v>21.936479474230111</v>
      </c>
      <c r="N25" s="31">
        <v>21.061442692816598</v>
      </c>
      <c r="O25" s="31">
        <v>19.4682849734732</v>
      </c>
      <c r="P25" s="31">
        <v>19.239304701877806</v>
      </c>
      <c r="Q25" s="31">
        <v>21.763710319016212</v>
      </c>
      <c r="R25" s="31">
        <v>19.068732622900203</v>
      </c>
      <c r="S25" s="31">
        <v>17.711205206753391</v>
      </c>
      <c r="T25" s="31">
        <v>20.019103693455399</v>
      </c>
    </row>
    <row r="26" spans="1:20">
      <c r="A26" s="31">
        <v>18.675191204192693</v>
      </c>
      <c r="B26" s="31">
        <v>16.710947479316612</v>
      </c>
      <c r="C26" s="31">
        <v>19.766219089437367</v>
      </c>
      <c r="D26" s="31">
        <v>19.268832373920219</v>
      </c>
      <c r="E26" s="31">
        <v>23.091434965921536</v>
      </c>
      <c r="F26" s="31">
        <v>21.582570886625735</v>
      </c>
      <c r="G26" s="31">
        <v>22.031416917361057</v>
      </c>
      <c r="H26" s="31">
        <v>19.190481914842206</v>
      </c>
      <c r="I26" s="31">
        <v>19.118321497893731</v>
      </c>
      <c r="J26" s="31">
        <v>18.251260325018475</v>
      </c>
      <c r="K26" s="31">
        <v>20.236488515919895</v>
      </c>
      <c r="L26" s="31">
        <v>19.502881604443782</v>
      </c>
      <c r="M26" s="31">
        <v>22.765529973732722</v>
      </c>
      <c r="N26" s="31">
        <v>20.455877927989615</v>
      </c>
      <c r="O26" s="31">
        <v>20.584519523099914</v>
      </c>
      <c r="P26" s="31">
        <v>21.006409788522188</v>
      </c>
      <c r="Q26" s="31">
        <v>18.685379053609552</v>
      </c>
      <c r="R26" s="31">
        <v>23.430806433161308</v>
      </c>
      <c r="S26" s="31">
        <v>15.17132378115938</v>
      </c>
      <c r="T26" s="31">
        <v>23.501061579227134</v>
      </c>
    </row>
    <row r="27" spans="1:20">
      <c r="A27" s="31">
        <v>16.859630086892832</v>
      </c>
      <c r="B27" s="31">
        <v>18.84832714363748</v>
      </c>
      <c r="C27" s="31">
        <v>19.692579405815255</v>
      </c>
      <c r="D27" s="31">
        <v>20.794098481678247</v>
      </c>
      <c r="E27" s="31">
        <v>18.164233573256972</v>
      </c>
      <c r="F27" s="31">
        <v>17.755988468895215</v>
      </c>
      <c r="G27" s="31">
        <v>22.848071878406131</v>
      </c>
      <c r="H27" s="31">
        <v>20.521407069294153</v>
      </c>
      <c r="I27" s="31">
        <v>21.035849923458283</v>
      </c>
      <c r="J27" s="31">
        <v>16.661568622096837</v>
      </c>
      <c r="K27" s="31">
        <v>23.324891265645405</v>
      </c>
      <c r="L27" s="31">
        <v>19.602181011759956</v>
      </c>
      <c r="M27" s="31">
        <v>22.954259850395346</v>
      </c>
      <c r="N27" s="31">
        <v>17.930397305794248</v>
      </c>
      <c r="O27" s="31">
        <v>22.525243894935947</v>
      </c>
      <c r="P27" s="31">
        <v>18.021982561496536</v>
      </c>
      <c r="Q27" s="31">
        <v>18.359170365865268</v>
      </c>
      <c r="R27" s="31">
        <v>20.1262657627944</v>
      </c>
      <c r="S27" s="31">
        <v>24.804572701949777</v>
      </c>
      <c r="T27" s="31">
        <v>23.077904680491979</v>
      </c>
    </row>
    <row r="28" spans="1:20">
      <c r="A28" s="31">
        <v>20.71241675727326</v>
      </c>
      <c r="B28" s="31">
        <v>18.993653591552263</v>
      </c>
      <c r="C28" s="31">
        <v>17.244697735504261</v>
      </c>
      <c r="D28" s="31">
        <v>21.931874584094174</v>
      </c>
      <c r="E28" s="31">
        <v>19.460528191930674</v>
      </c>
      <c r="F28" s="31">
        <v>14.894464169948977</v>
      </c>
      <c r="G28" s="31">
        <v>18.185129776842363</v>
      </c>
      <c r="H28" s="31">
        <v>19.070821049623714</v>
      </c>
      <c r="I28" s="31">
        <v>20.059516857632193</v>
      </c>
      <c r="J28" s="31">
        <v>18.171248784143298</v>
      </c>
      <c r="K28" s="31">
        <v>20.455923888199457</v>
      </c>
      <c r="L28" s="31">
        <v>22.455933500433019</v>
      </c>
      <c r="M28" s="31">
        <v>19.512725123244707</v>
      </c>
      <c r="N28" s="31">
        <v>16.334540191110964</v>
      </c>
      <c r="O28" s="31">
        <v>18.214260628603981</v>
      </c>
      <c r="P28" s="31">
        <v>21.689442792351674</v>
      </c>
      <c r="Q28" s="31">
        <v>19.909514773019875</v>
      </c>
      <c r="R28" s="31">
        <v>19.706400972195926</v>
      </c>
      <c r="S28" s="31">
        <v>20.004688855100817</v>
      </c>
      <c r="T28" s="31">
        <v>20.30168356922804</v>
      </c>
    </row>
    <row r="30" spans="1:20">
      <c r="B30" s="31" t="s">
        <v>74</v>
      </c>
      <c r="C30" s="31">
        <f>MIN(dados)</f>
        <v>11.821079237342929</v>
      </c>
      <c r="E30" s="31" t="s">
        <v>75</v>
      </c>
      <c r="F30" s="31">
        <f>MAX(dados)</f>
        <v>27.117957268810404</v>
      </c>
      <c r="H30" s="31" t="s">
        <v>53</v>
      </c>
      <c r="I30" s="31">
        <f>F30-C30</f>
        <v>15.296878031467475</v>
      </c>
      <c r="K30" s="31" t="s">
        <v>55</v>
      </c>
      <c r="L30" s="31">
        <f>I30/20</f>
        <v>0.76484390157337379</v>
      </c>
    </row>
    <row r="33" spans="1:11">
      <c r="A33" s="31" t="s">
        <v>12</v>
      </c>
      <c r="B33" s="31" t="s">
        <v>57</v>
      </c>
      <c r="C33" s="31" t="s">
        <v>58</v>
      </c>
      <c r="D33" s="31" t="s">
        <v>79</v>
      </c>
      <c r="E33" s="31" t="s">
        <v>76</v>
      </c>
      <c r="F33" s="31" t="s">
        <v>77</v>
      </c>
      <c r="G33" s="31" t="s">
        <v>78</v>
      </c>
    </row>
    <row r="34" spans="1:11">
      <c r="A34" s="31">
        <v>1</v>
      </c>
      <c r="B34" s="31">
        <f>C30</f>
        <v>11.821079237342929</v>
      </c>
      <c r="C34" s="31">
        <f>B34+$L$30</f>
        <v>12.585923138916302</v>
      </c>
      <c r="D34" s="34">
        <f>(B34+C34)/2</f>
        <v>12.203501188129614</v>
      </c>
      <c r="E34" s="31">
        <f t="array" ref="E34:E53">FREQUENCY(dados,C34:C52)</f>
        <v>1</v>
      </c>
      <c r="F34" s="31">
        <f>E34/$E$54</f>
        <v>2E-3</v>
      </c>
      <c r="G34" s="31">
        <f>NORMDIST(C34,$B$1,$B$2,1)-NORMDIST(B34,$B$1,$B$2,1)</f>
        <v>8.3229670287879358E-5</v>
      </c>
    </row>
    <row r="35" spans="1:11">
      <c r="A35" s="31">
        <f>A34+1</f>
        <v>2</v>
      </c>
      <c r="B35" s="31">
        <f>C34</f>
        <v>12.585923138916302</v>
      </c>
      <c r="C35" s="31">
        <f>B35+$L$30</f>
        <v>13.350767040489675</v>
      </c>
      <c r="D35" s="34">
        <f t="shared" ref="D35:D53" si="0">(B35+C35)/2</f>
        <v>12.968345089702989</v>
      </c>
      <c r="E35" s="31">
        <v>0</v>
      </c>
      <c r="F35" s="31">
        <f t="shared" ref="F35:F53" si="1">E35/$E$54</f>
        <v>0</v>
      </c>
      <c r="G35" s="31">
        <f t="shared" ref="G35:G53" si="2">NORMDIST(C35,$B$1,$B$2,1)-NORMDIST(B35,$B$1,$B$2,1)</f>
        <v>3.3785263210746742E-4</v>
      </c>
    </row>
    <row r="36" spans="1:11">
      <c r="A36" s="31">
        <f t="shared" ref="A36:A53" si="3">A35+1</f>
        <v>3</v>
      </c>
      <c r="B36" s="31">
        <f t="shared" ref="B36:B53" si="4">C35</f>
        <v>13.350767040489675</v>
      </c>
      <c r="C36" s="31">
        <f t="shared" ref="C36:C53" si="5">B36+$L$30</f>
        <v>14.115610942063048</v>
      </c>
      <c r="D36" s="34">
        <f t="shared" si="0"/>
        <v>13.733188991276361</v>
      </c>
      <c r="E36" s="31">
        <v>0</v>
      </c>
      <c r="F36" s="31">
        <f t="shared" si="1"/>
        <v>0</v>
      </c>
      <c r="G36" s="31">
        <f t="shared" si="2"/>
        <v>1.1867744802275329E-3</v>
      </c>
    </row>
    <row r="37" spans="1:11">
      <c r="A37" s="31">
        <f t="shared" si="3"/>
        <v>4</v>
      </c>
      <c r="B37" s="31">
        <f t="shared" si="4"/>
        <v>14.115610942063048</v>
      </c>
      <c r="C37" s="31">
        <f t="shared" si="5"/>
        <v>14.880454843636421</v>
      </c>
      <c r="D37" s="34">
        <f t="shared" si="0"/>
        <v>14.498032892849736</v>
      </c>
      <c r="E37" s="31">
        <v>0</v>
      </c>
      <c r="F37" s="31">
        <f t="shared" si="1"/>
        <v>0</v>
      </c>
      <c r="G37" s="31">
        <f t="shared" si="2"/>
        <v>3.6075583678967368E-3</v>
      </c>
    </row>
    <row r="38" spans="1:11">
      <c r="A38" s="31">
        <f t="shared" si="3"/>
        <v>5</v>
      </c>
      <c r="B38" s="31">
        <f t="shared" si="4"/>
        <v>14.880454843636421</v>
      </c>
      <c r="C38" s="31">
        <f t="shared" si="5"/>
        <v>15.645298745209795</v>
      </c>
      <c r="D38" s="34">
        <f t="shared" si="0"/>
        <v>15.262876794423107</v>
      </c>
      <c r="E38" s="31">
        <v>5</v>
      </c>
      <c r="F38" s="31">
        <f t="shared" si="1"/>
        <v>0.01</v>
      </c>
      <c r="G38" s="31">
        <f t="shared" si="2"/>
        <v>9.4901741850225013E-3</v>
      </c>
    </row>
    <row r="39" spans="1:11">
      <c r="A39" s="31">
        <f t="shared" si="3"/>
        <v>6</v>
      </c>
      <c r="B39" s="31">
        <f t="shared" si="4"/>
        <v>15.645298745209795</v>
      </c>
      <c r="C39" s="31">
        <f t="shared" si="5"/>
        <v>16.410142646783168</v>
      </c>
      <c r="D39" s="34">
        <f t="shared" si="0"/>
        <v>16.027720695996482</v>
      </c>
      <c r="E39" s="31">
        <v>10</v>
      </c>
      <c r="F39" s="31">
        <f t="shared" si="1"/>
        <v>0.02</v>
      </c>
      <c r="G39" s="31">
        <f t="shared" si="2"/>
        <v>2.1605323930587301E-2</v>
      </c>
    </row>
    <row r="40" spans="1:11">
      <c r="A40" s="31">
        <f t="shared" si="3"/>
        <v>7</v>
      </c>
      <c r="B40" s="31">
        <f t="shared" si="4"/>
        <v>16.410142646783168</v>
      </c>
      <c r="C40" s="31">
        <f t="shared" si="5"/>
        <v>17.174986548356543</v>
      </c>
      <c r="D40" s="34">
        <f t="shared" si="0"/>
        <v>16.792564597569857</v>
      </c>
      <c r="E40" s="31">
        <v>18</v>
      </c>
      <c r="F40" s="31">
        <f t="shared" si="1"/>
        <v>3.5999999999999997E-2</v>
      </c>
      <c r="G40" s="31">
        <f t="shared" si="2"/>
        <v>4.2567873695174979E-2</v>
      </c>
    </row>
    <row r="41" spans="1:11">
      <c r="A41" s="31">
        <f t="shared" si="3"/>
        <v>8</v>
      </c>
      <c r="B41" s="31">
        <f t="shared" si="4"/>
        <v>17.174986548356543</v>
      </c>
      <c r="C41" s="31">
        <f t="shared" si="5"/>
        <v>17.939830449929918</v>
      </c>
      <c r="D41" s="34">
        <f t="shared" si="0"/>
        <v>17.557408499143229</v>
      </c>
      <c r="E41" s="31">
        <v>40</v>
      </c>
      <c r="F41" s="31">
        <f t="shared" si="1"/>
        <v>0.08</v>
      </c>
      <c r="G41" s="31">
        <f t="shared" si="2"/>
        <v>7.258469993269194E-2</v>
      </c>
    </row>
    <row r="42" spans="1:11">
      <c r="A42" s="31">
        <f t="shared" si="3"/>
        <v>9</v>
      </c>
      <c r="B42" s="31">
        <f t="shared" si="4"/>
        <v>17.939830449929918</v>
      </c>
      <c r="C42" s="31">
        <f t="shared" si="5"/>
        <v>18.704674351503293</v>
      </c>
      <c r="D42" s="34">
        <f t="shared" si="0"/>
        <v>18.322252400716607</v>
      </c>
      <c r="E42" s="31">
        <v>54</v>
      </c>
      <c r="F42" s="31">
        <f t="shared" si="1"/>
        <v>0.108</v>
      </c>
      <c r="G42" s="31">
        <f t="shared" si="2"/>
        <v>0.10711642115166314</v>
      </c>
    </row>
    <row r="43" spans="1:11">
      <c r="A43" s="31">
        <f t="shared" si="3"/>
        <v>10</v>
      </c>
      <c r="B43" s="31">
        <f t="shared" si="4"/>
        <v>18.704674351503293</v>
      </c>
      <c r="C43" s="31">
        <f t="shared" si="5"/>
        <v>19.469518253076668</v>
      </c>
      <c r="D43" s="34">
        <f t="shared" si="0"/>
        <v>19.087096302289979</v>
      </c>
      <c r="E43" s="31">
        <v>83</v>
      </c>
      <c r="F43" s="31">
        <f t="shared" si="1"/>
        <v>0.16600000000000001</v>
      </c>
      <c r="G43" s="31">
        <f t="shared" si="2"/>
        <v>0.13681042789240927</v>
      </c>
    </row>
    <row r="44" spans="1:11">
      <c r="A44" s="31">
        <f t="shared" si="3"/>
        <v>11</v>
      </c>
      <c r="B44" s="31">
        <f t="shared" si="4"/>
        <v>19.469518253076668</v>
      </c>
      <c r="C44" s="31">
        <f t="shared" si="5"/>
        <v>20.234362154650043</v>
      </c>
      <c r="D44" s="34">
        <f t="shared" si="0"/>
        <v>19.851940203863357</v>
      </c>
      <c r="E44" s="31">
        <v>76</v>
      </c>
      <c r="F44" s="31">
        <f t="shared" si="1"/>
        <v>0.152</v>
      </c>
      <c r="G44" s="31">
        <f t="shared" si="2"/>
        <v>0.1512297643117253</v>
      </c>
      <c r="J44" s="31" t="s">
        <v>80</v>
      </c>
      <c r="K44" s="31">
        <f>AVERAGE(dados)</f>
        <v>19.949767881339731</v>
      </c>
    </row>
    <row r="45" spans="1:11">
      <c r="A45" s="31">
        <f t="shared" si="3"/>
        <v>12</v>
      </c>
      <c r="B45" s="31">
        <f t="shared" si="4"/>
        <v>20.234362154650043</v>
      </c>
      <c r="C45" s="31">
        <f t="shared" si="5"/>
        <v>20.999206056223418</v>
      </c>
      <c r="D45" s="34">
        <f t="shared" si="0"/>
        <v>20.616784105436729</v>
      </c>
      <c r="E45" s="31">
        <v>68</v>
      </c>
      <c r="F45" s="31">
        <f t="shared" si="1"/>
        <v>0.13600000000000001</v>
      </c>
      <c r="G45" s="31">
        <f t="shared" si="2"/>
        <v>0.14468096822369292</v>
      </c>
      <c r="J45" s="31" t="s">
        <v>81</v>
      </c>
      <c r="K45" s="31">
        <f>VAR(dados)</f>
        <v>3.8986592920635834</v>
      </c>
    </row>
    <row r="46" spans="1:11">
      <c r="A46" s="31">
        <f t="shared" si="3"/>
        <v>13</v>
      </c>
      <c r="B46" s="31">
        <f t="shared" si="4"/>
        <v>20.999206056223418</v>
      </c>
      <c r="C46" s="31">
        <f t="shared" si="5"/>
        <v>21.764049957796793</v>
      </c>
      <c r="D46" s="34">
        <f t="shared" si="0"/>
        <v>21.381628007010107</v>
      </c>
      <c r="E46" s="31">
        <v>58</v>
      </c>
      <c r="F46" s="31">
        <f t="shared" si="1"/>
        <v>0.11600000000000001</v>
      </c>
      <c r="G46" s="31">
        <f t="shared" si="2"/>
        <v>0.11979566289441479</v>
      </c>
      <c r="J46" s="31" t="s">
        <v>82</v>
      </c>
      <c r="K46" s="31">
        <f>MEDIAN(dados)</f>
        <v>19.881927620410828</v>
      </c>
    </row>
    <row r="47" spans="1:11">
      <c r="A47" s="31">
        <f t="shared" si="3"/>
        <v>14</v>
      </c>
      <c r="B47" s="31">
        <f t="shared" si="4"/>
        <v>21.764049957796793</v>
      </c>
      <c r="C47" s="31">
        <f t="shared" si="5"/>
        <v>22.528893859370168</v>
      </c>
      <c r="D47" s="34">
        <f t="shared" si="0"/>
        <v>22.146471908583479</v>
      </c>
      <c r="E47" s="31">
        <v>36</v>
      </c>
      <c r="F47" s="31">
        <f t="shared" si="1"/>
        <v>7.1999999999999995E-2</v>
      </c>
      <c r="G47" s="31">
        <f t="shared" si="2"/>
        <v>8.5846820924066924E-2</v>
      </c>
      <c r="J47" s="31" t="s">
        <v>29</v>
      </c>
      <c r="K47" s="31">
        <f>SKEW(dados)</f>
        <v>8.0411475513706671E-2</v>
      </c>
    </row>
    <row r="48" spans="1:11">
      <c r="A48" s="31">
        <f t="shared" si="3"/>
        <v>15</v>
      </c>
      <c r="B48" s="31">
        <f t="shared" si="4"/>
        <v>22.528893859370168</v>
      </c>
      <c r="C48" s="31">
        <f t="shared" si="5"/>
        <v>23.293737760943543</v>
      </c>
      <c r="D48" s="34">
        <f t="shared" si="0"/>
        <v>22.911315810156857</v>
      </c>
      <c r="E48" s="31">
        <v>24</v>
      </c>
      <c r="F48" s="31">
        <f t="shared" si="1"/>
        <v>4.8000000000000001E-2</v>
      </c>
      <c r="G48" s="31">
        <f t="shared" si="2"/>
        <v>5.324232903372661E-2</v>
      </c>
      <c r="J48" s="31" t="s">
        <v>31</v>
      </c>
      <c r="K48" s="31">
        <f>KURT(dados)</f>
        <v>0.40589216235325365</v>
      </c>
    </row>
    <row r="49" spans="1:7">
      <c r="A49" s="31">
        <f t="shared" si="3"/>
        <v>16</v>
      </c>
      <c r="B49" s="31">
        <f t="shared" si="4"/>
        <v>23.293737760943543</v>
      </c>
      <c r="C49" s="31">
        <f t="shared" si="5"/>
        <v>24.058581662516918</v>
      </c>
      <c r="D49" s="34">
        <f t="shared" si="0"/>
        <v>23.676159711730229</v>
      </c>
      <c r="E49" s="31">
        <v>16</v>
      </c>
      <c r="F49" s="31">
        <f t="shared" si="1"/>
        <v>3.2000000000000001E-2</v>
      </c>
      <c r="G49" s="31">
        <f t="shared" si="2"/>
        <v>2.8578161460651841E-2</v>
      </c>
    </row>
    <row r="50" spans="1:7">
      <c r="A50" s="31">
        <f t="shared" si="3"/>
        <v>17</v>
      </c>
      <c r="B50" s="31">
        <f t="shared" si="4"/>
        <v>24.058581662516918</v>
      </c>
      <c r="C50" s="31">
        <f t="shared" si="5"/>
        <v>24.823425564090293</v>
      </c>
      <c r="D50" s="34">
        <f t="shared" si="0"/>
        <v>24.441003613303607</v>
      </c>
      <c r="E50" s="31">
        <v>7</v>
      </c>
      <c r="F50" s="31">
        <f t="shared" si="1"/>
        <v>1.4E-2</v>
      </c>
      <c r="G50" s="31">
        <f t="shared" si="2"/>
        <v>1.3275446330839213E-2</v>
      </c>
    </row>
    <row r="51" spans="1:7">
      <c r="A51" s="31">
        <f t="shared" si="3"/>
        <v>18</v>
      </c>
      <c r="B51" s="31">
        <f t="shared" si="4"/>
        <v>24.823425564090293</v>
      </c>
      <c r="C51" s="31">
        <f t="shared" si="5"/>
        <v>25.588269465663668</v>
      </c>
      <c r="D51" s="34">
        <f t="shared" si="0"/>
        <v>25.205847514876979</v>
      </c>
      <c r="E51" s="31">
        <v>3</v>
      </c>
      <c r="F51" s="31">
        <f t="shared" si="1"/>
        <v>6.0000000000000001E-3</v>
      </c>
      <c r="G51" s="31">
        <f t="shared" si="2"/>
        <v>5.3369523693556076E-3</v>
      </c>
    </row>
    <row r="52" spans="1:7">
      <c r="A52" s="31">
        <f t="shared" si="3"/>
        <v>19</v>
      </c>
      <c r="B52" s="31">
        <f t="shared" si="4"/>
        <v>25.588269465663668</v>
      </c>
      <c r="C52" s="31">
        <f t="shared" si="5"/>
        <v>26.353113367237043</v>
      </c>
      <c r="D52" s="34">
        <f t="shared" si="0"/>
        <v>25.970691416450357</v>
      </c>
      <c r="E52" s="31">
        <v>0</v>
      </c>
      <c r="F52" s="31">
        <f t="shared" si="1"/>
        <v>0</v>
      </c>
      <c r="G52" s="31">
        <f t="shared" si="2"/>
        <v>1.8567663099268161E-3</v>
      </c>
    </row>
    <row r="53" spans="1:7">
      <c r="A53" s="31">
        <f t="shared" si="3"/>
        <v>20</v>
      </c>
      <c r="B53" s="31">
        <f t="shared" si="4"/>
        <v>26.353113367237043</v>
      </c>
      <c r="C53" s="31">
        <f t="shared" si="5"/>
        <v>27.117957268810418</v>
      </c>
      <c r="D53" s="34">
        <f t="shared" si="0"/>
        <v>26.735535318023729</v>
      </c>
      <c r="E53" s="31">
        <v>1</v>
      </c>
      <c r="F53" s="31">
        <f t="shared" si="1"/>
        <v>2E-3</v>
      </c>
      <c r="G53" s="31">
        <f t="shared" si="2"/>
        <v>5.5902340128810568E-4</v>
      </c>
    </row>
    <row r="54" spans="1:7">
      <c r="A54" s="33" t="s">
        <v>36</v>
      </c>
      <c r="B54" s="33"/>
      <c r="C54" s="33"/>
      <c r="D54" s="33"/>
      <c r="E54" s="33">
        <f>SUM(E34:E53)</f>
        <v>500</v>
      </c>
      <c r="F54" s="33">
        <f t="shared" ref="F54:G54" si="6">SUM(F34:F53)</f>
        <v>1</v>
      </c>
      <c r="G54" s="33">
        <f t="shared" si="6"/>
        <v>0.99979223119775695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29</vt:i4>
      </vt:variant>
    </vt:vector>
  </HeadingPairs>
  <TitlesOfParts>
    <vt:vector size="44" baseType="lpstr">
      <vt:lpstr>8.1</vt:lpstr>
      <vt:lpstr>8.2</vt:lpstr>
      <vt:lpstr>8.3</vt:lpstr>
      <vt:lpstr>8.4</vt:lpstr>
      <vt:lpstr>8.5</vt:lpstr>
      <vt:lpstr>R8.1a1</vt:lpstr>
      <vt:lpstr>R8.1a2</vt:lpstr>
      <vt:lpstr>R8.1b1</vt:lpstr>
      <vt:lpstr>R8.1b2</vt:lpstr>
      <vt:lpstr>R8.2</vt:lpstr>
      <vt:lpstr>R8.3</vt:lpstr>
      <vt:lpstr>R8.4</vt:lpstr>
      <vt:lpstr>R8.5t1</vt:lpstr>
      <vt:lpstr>R8.5t2</vt:lpstr>
      <vt:lpstr>R8.6</vt:lpstr>
      <vt:lpstr>R8.1a1!_mc2</vt:lpstr>
      <vt:lpstr>R8.1a2!_mc2</vt:lpstr>
      <vt:lpstr>R8.1b2!_mc2</vt:lpstr>
      <vt:lpstr>_mc2</vt:lpstr>
      <vt:lpstr>R8.1a1!_mc3</vt:lpstr>
      <vt:lpstr>R8.1a2!_mc3</vt:lpstr>
      <vt:lpstr>R8.1b2!_mc3</vt:lpstr>
      <vt:lpstr>_mc3</vt:lpstr>
      <vt:lpstr>R8.1a1!_mc4</vt:lpstr>
      <vt:lpstr>R8.1a2!_mc4</vt:lpstr>
      <vt:lpstr>R8.1b2!_mc4</vt:lpstr>
      <vt:lpstr>_mc4</vt:lpstr>
      <vt:lpstr>R8.1a1!_mk2</vt:lpstr>
      <vt:lpstr>R8.1a2!_mk2</vt:lpstr>
      <vt:lpstr>R8.1b2!_mk2</vt:lpstr>
      <vt:lpstr>_mk2</vt:lpstr>
      <vt:lpstr>R8.1a1!_mk3</vt:lpstr>
      <vt:lpstr>R8.1a2!_mk3</vt:lpstr>
      <vt:lpstr>R8.1b2!_mk3</vt:lpstr>
      <vt:lpstr>_mk3</vt:lpstr>
      <vt:lpstr>R8.1a1!_mk4</vt:lpstr>
      <vt:lpstr>R8.1a2!_mk4</vt:lpstr>
      <vt:lpstr>R8.1b2!_mk4</vt:lpstr>
      <vt:lpstr>_mk4</vt:lpstr>
      <vt:lpstr>R8.6!dados</vt:lpstr>
      <vt:lpstr>R8.1a1!n</vt:lpstr>
      <vt:lpstr>R8.1a2!n</vt:lpstr>
      <vt:lpstr>R8.1b2!n</vt:lpstr>
      <vt:lpstr>n</vt:lpstr>
    </vt:vector>
  </TitlesOfParts>
  <Company>IPB-ESTiG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Duarte</dc:creator>
  <cp:lastModifiedBy>Antonio Marques</cp:lastModifiedBy>
  <cp:lastPrinted>2007-10-24T14:29:16Z</cp:lastPrinted>
  <dcterms:created xsi:type="dcterms:W3CDTF">2007-10-23T08:49:38Z</dcterms:created>
  <dcterms:modified xsi:type="dcterms:W3CDTF">2025-03-10T17:39:06Z</dcterms:modified>
</cp:coreProperties>
</file>